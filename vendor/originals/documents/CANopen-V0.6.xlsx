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32711\Desktop\说明\"/>
    </mc:Choice>
  </mc:AlternateContent>
  <xr:revisionPtr revIDLastSave="0" documentId="8_{FDB92596-9760-4C1E-8EAC-38B3D9D474C1}" xr6:coauthVersionLast="47" xr6:coauthVersionMax="47" xr10:uidLastSave="{00000000-0000-0000-0000-000000000000}"/>
  <bookViews>
    <workbookView xWindow="380" yWindow="380" windowWidth="14570" windowHeight="13080" activeTab="3" xr2:uid="{00000000-000D-0000-FFFF-FFFF00000000}"/>
  </bookViews>
  <sheets>
    <sheet name="字典表" sheetId="1" r:id="rId1"/>
    <sheet name="字典操作示例" sheetId="2" r:id="rId2"/>
    <sheet name="SDO协议内容详解" sheetId="3" r:id="rId3"/>
    <sheet name="CANFD的自定义的PDO控制协议" sheetId="4" r:id="rId4"/>
    <sheet name="PDO应用示例" sheetId="5" r:id="rId5"/>
  </sheets>
  <definedNames>
    <definedName name="heading_1" localSheetId="3">CANFD的自定义的PDO控制协议!$A$25</definedName>
    <definedName name="heading_2" localSheetId="3">CANFD的自定义的PDO控制协议!$A$43</definedName>
    <definedName name="heading_3" localSheetId="3">CANFD的自定义的PDO控制协议!$A$2</definedName>
  </definedNames>
  <calcPr calcId="191029"/>
  <fileRecoveryPr repairLoad="1"/>
</workbook>
</file>

<file path=xl/calcChain.xml><?xml version="1.0" encoding="utf-8"?>
<calcChain xmlns="http://schemas.openxmlformats.org/spreadsheetml/2006/main">
  <c r="H31" i="2" l="1"/>
  <c r="H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刘毅</author>
  </authors>
  <commentList>
    <comment ref="A31" authorId="0" shapeId="0" xr:uid="{D14155B5-691A-46FD-AC12-EA1D6F8E341B}">
      <text>
        <r>
          <rPr>
            <b/>
            <sz val="9"/>
            <color indexed="81"/>
            <rFont val="宋体"/>
            <family val="3"/>
            <charset val="134"/>
          </rPr>
          <t>二进制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刘毅</author>
  </authors>
  <commentList>
    <comment ref="B6" authorId="0" shapeId="0" xr:uid="{E9711D78-F9F8-4412-91C8-56A82D9AF145}">
      <text>
        <r>
          <rPr>
            <b/>
            <sz val="9"/>
            <color indexed="81"/>
            <rFont val="宋体"/>
            <family val="3"/>
            <charset val="134"/>
          </rPr>
          <t>二进制</t>
        </r>
      </text>
    </comment>
  </commentList>
</comments>
</file>

<file path=xl/sharedStrings.xml><?xml version="1.0" encoding="utf-8"?>
<sst xmlns="http://schemas.openxmlformats.org/spreadsheetml/2006/main" count="1063" uniqueCount="518">
  <si>
    <t>---</t>
  </si>
  <si>
    <t>参数字典</t>
  </si>
  <si>
    <t>参数名称</t>
  </si>
  <si>
    <t>主索引</t>
  </si>
  <si>
    <t>子索引</t>
  </si>
  <si>
    <t>权限</t>
  </si>
  <si>
    <t>数据类型</t>
  </si>
  <si>
    <t>默认值（十进制）</t>
  </si>
  <si>
    <t>最小值</t>
  </si>
  <si>
    <t>最大值</t>
  </si>
  <si>
    <t>单位</t>
  </si>
  <si>
    <t>说明</t>
  </si>
  <si>
    <t>0</t>
  </si>
  <si>
    <t>Can Node ID</t>
  </si>
  <si>
    <t>CAN节点ID</t>
  </si>
  <si>
    <t>0x2530</t>
  </si>
  <si>
    <t>0x00</t>
  </si>
  <si>
    <t>RW</t>
  </si>
  <si>
    <t>UINT32</t>
  </si>
  <si>
    <t>1</t>
  </si>
  <si>
    <t>127</t>
  </si>
  <si>
    <t>-</t>
  </si>
  <si>
    <t>修改完成后需要重启生效;</t>
  </si>
  <si>
    <t>Can Baudrate</t>
  </si>
  <si>
    <t>0x2540</t>
  </si>
  <si>
    <t>4</t>
  </si>
  <si>
    <t>2</t>
  </si>
  <si>
    <t>Zero set</t>
  </si>
  <si>
    <t>设置电机输出端零位</t>
  </si>
  <si>
    <t>0x2531</t>
  </si>
  <si>
    <t>写入零位是电机需要在去使能的状态，写1时设置零位</t>
  </si>
  <si>
    <t>3</t>
  </si>
  <si>
    <t>TorqueFlux_P</t>
  </si>
  <si>
    <t>电流环P参数</t>
  </si>
  <si>
    <t>0x2532</t>
  </si>
  <si>
    <t>32768</t>
  </si>
  <si>
    <t>TorqueFlux_I</t>
  </si>
  <si>
    <t>电流环I参数</t>
  </si>
  <si>
    <t>0x2533</t>
  </si>
  <si>
    <t>5</t>
  </si>
  <si>
    <t>Velocity_P</t>
  </si>
  <si>
    <t>速度环P参数</t>
  </si>
  <si>
    <t>0x2534</t>
  </si>
  <si>
    <t>6</t>
  </si>
  <si>
    <t>Velocity_I</t>
  </si>
  <si>
    <t>速断环I参数</t>
  </si>
  <si>
    <t>0x2535</t>
  </si>
  <si>
    <t>7</t>
  </si>
  <si>
    <t>Position_P</t>
  </si>
  <si>
    <t>位置环P参数</t>
  </si>
  <si>
    <t>0x2536</t>
  </si>
  <si>
    <t>8</t>
  </si>
  <si>
    <t>Position_I</t>
  </si>
  <si>
    <t>位置环I参数</t>
  </si>
  <si>
    <t>0x2537</t>
  </si>
  <si>
    <t>9</t>
  </si>
  <si>
    <t>maxTorque</t>
  </si>
  <si>
    <t>电机峰值电流</t>
  </si>
  <si>
    <t>0x2538</t>
  </si>
  <si>
    <t>mA</t>
  </si>
  <si>
    <t>10</t>
  </si>
  <si>
    <t>Flash cobe</t>
  </si>
  <si>
    <t>Flash保存参数代码</t>
  </si>
  <si>
    <t>0x2539</t>
  </si>
  <si>
    <t>说明：1-断电保存设置的电机参数 2-设置电机正限位 4-设置电机负限位</t>
  </si>
  <si>
    <t>11</t>
  </si>
  <si>
    <t>MOS_Temper</t>
  </si>
  <si>
    <t>驱动器温度</t>
  </si>
  <si>
    <t>0x2662</t>
  </si>
  <si>
    <t>RO</t>
  </si>
  <si>
    <t>-400</t>
  </si>
  <si>
    <t>1500</t>
  </si>
  <si>
    <t>0.1°</t>
  </si>
  <si>
    <t>12</t>
  </si>
  <si>
    <t>Motor_Temper</t>
  </si>
  <si>
    <t>电机线圈温度</t>
  </si>
  <si>
    <t>0x2663</t>
  </si>
  <si>
    <t>13</t>
  </si>
  <si>
    <t>Error Code</t>
  </si>
  <si>
    <t>错误码</t>
  </si>
  <si>
    <t>0x603F</t>
  </si>
  <si>
    <t>UNS16</t>
  </si>
  <si>
    <t>0x0001:过压 0x0002：欠压  0x0004：过温报错 0x0008：堵转 0x0010：过载  0x0020：飞车保护（超过最大速度） 0x0040：正限位保护  0x0080：负限位保护  0x0100：电机的SSI编码器读取错误</t>
  </si>
  <si>
    <t>14</t>
  </si>
  <si>
    <t>DS402 Controlword</t>
  </si>
  <si>
    <t>402控制字</t>
  </si>
  <si>
    <t>0x6040</t>
  </si>
  <si>
    <t>15</t>
  </si>
  <si>
    <t>DS402 Statusword</t>
  </si>
  <si>
    <t>402状态字</t>
  </si>
  <si>
    <t>0x6041</t>
  </si>
  <si>
    <t>16</t>
  </si>
  <si>
    <t>Torque Target Value</t>
  </si>
  <si>
    <t>电流环目标值</t>
  </si>
  <si>
    <t>0x6071</t>
  </si>
  <si>
    <t>INTEGER16</t>
  </si>
  <si>
    <t>17</t>
  </si>
  <si>
    <t>Current Actual Value</t>
  </si>
  <si>
    <t>电流当前值</t>
  </si>
  <si>
    <t>0x6078</t>
  </si>
  <si>
    <t>18</t>
  </si>
  <si>
    <t>Bus Voltage Actual Value</t>
  </si>
  <si>
    <t>母线电压当前值</t>
  </si>
  <si>
    <t>0x6079</t>
  </si>
  <si>
    <t>UNS32</t>
  </si>
  <si>
    <t>0.1V</t>
  </si>
  <si>
    <t>19</t>
  </si>
  <si>
    <t>Load Position Target Value</t>
  </si>
  <si>
    <t>负载端位置目标值</t>
  </si>
  <si>
    <t>0x607A</t>
  </si>
  <si>
    <t>INTEGER32</t>
  </si>
  <si>
    <t>cnt</t>
  </si>
  <si>
    <t>20</t>
  </si>
  <si>
    <t>Load Position Lower Limit</t>
  </si>
  <si>
    <t>负载位置下限</t>
  </si>
  <si>
    <t>0x607D</t>
  </si>
  <si>
    <t>0x01</t>
  </si>
  <si>
    <t>21</t>
  </si>
  <si>
    <t>Load Position Upper Limit</t>
  </si>
  <si>
    <t>负载位置上限</t>
  </si>
  <si>
    <t>0x02</t>
  </si>
  <si>
    <t>22</t>
  </si>
  <si>
    <t>Motor Maximum Speed RPM</t>
  </si>
  <si>
    <t>电机最大转速/速度(RPM)</t>
  </si>
  <si>
    <t>0x6080</t>
  </si>
  <si>
    <t>RPM</t>
  </si>
  <si>
    <t>23</t>
  </si>
  <si>
    <t>Profile Velocity</t>
  </si>
  <si>
    <t>负载端轮廓速度</t>
  </si>
  <si>
    <t>0x6081</t>
  </si>
  <si>
    <t>改速度为输出端的速度</t>
  </si>
  <si>
    <t>24</t>
  </si>
  <si>
    <t>Profle Acceleration</t>
  </si>
  <si>
    <t>轮廓加速度</t>
  </si>
  <si>
    <t>0x6083</t>
  </si>
  <si>
    <t>RPM/S</t>
  </si>
  <si>
    <t>25</t>
  </si>
  <si>
    <t>Profile Deceleration</t>
  </si>
  <si>
    <t>轮廓减速度</t>
  </si>
  <si>
    <t>0x6084</t>
  </si>
  <si>
    <t>26</t>
  </si>
  <si>
    <t>Operation Mode Command</t>
  </si>
  <si>
    <t>运行模式指令</t>
  </si>
  <si>
    <t>0x6060</t>
  </si>
  <si>
    <t>INTEGER8</t>
  </si>
  <si>
    <t>说明：1-轮廓位置模式，3-轮廓速度模式，8周期同步位置模式，9周期同步速度模式，10周期同步电流模式</t>
  </si>
  <si>
    <t>27</t>
  </si>
  <si>
    <t>Operation Mode Command display</t>
  </si>
  <si>
    <t>当前运行模式指令</t>
  </si>
  <si>
    <t>28</t>
  </si>
  <si>
    <t>Velocity Target Value</t>
  </si>
  <si>
    <t>速度目标值</t>
  </si>
  <si>
    <t>0x60FF</t>
  </si>
  <si>
    <t>29</t>
  </si>
  <si>
    <t>Velocity Actual Value</t>
  </si>
  <si>
    <t>电机端速度当前值</t>
  </si>
  <si>
    <t>0x606C</t>
  </si>
  <si>
    <t>30</t>
  </si>
  <si>
    <t>Load Position Actual Value</t>
  </si>
  <si>
    <t>负裁端位置当前值</t>
  </si>
  <si>
    <t>0x6064</t>
  </si>
  <si>
    <t>31</t>
  </si>
  <si>
    <t>Load Position Error Value</t>
  </si>
  <si>
    <t>负端位置误差值</t>
  </si>
  <si>
    <t>0x60F4</t>
  </si>
  <si>
    <t>位置模式举例 位置环的速度是减速机的输出端速度</t>
  </si>
  <si>
    <t>读取运动状态</t>
  </si>
  <si>
    <t>使能电机：</t>
  </si>
  <si>
    <t>ID</t>
  </si>
  <si>
    <t>DLC</t>
  </si>
  <si>
    <t>Data(HEX)</t>
  </si>
  <si>
    <t>Description</t>
  </si>
  <si>
    <t>范围限制</t>
  </si>
  <si>
    <t>40 78 60 00 00 00 00 00</t>
  </si>
  <si>
    <t>读取电机实际电流</t>
  </si>
  <si>
    <r>
      <rPr>
        <sz val="12"/>
        <color theme="1"/>
        <rFont val="Microsoft Sans Serif"/>
        <family val="2"/>
      </rPr>
      <t xml:space="preserve">2B 40 60 00 </t>
    </r>
    <r>
      <rPr>
        <sz val="12"/>
        <color rgb="FFFF0000"/>
        <rFont val="Microsoft Sans Serif"/>
        <family val="2"/>
      </rPr>
      <t>06 00</t>
    </r>
    <r>
      <rPr>
        <sz val="12"/>
        <color theme="1"/>
        <rFont val="Microsoft Sans Serif"/>
        <family val="2"/>
      </rPr>
      <t xml:space="preserve"> 00 00</t>
    </r>
  </si>
  <si>
    <t>准备好启动</t>
  </si>
  <si>
    <r>
      <rPr>
        <sz val="12"/>
        <color theme="1"/>
        <rFont val="Microsoft Sans Serif"/>
        <family val="2"/>
      </rPr>
      <t xml:space="preserve">4B 78 60 00 </t>
    </r>
    <r>
      <rPr>
        <sz val="12"/>
        <color rgb="FFFF0000"/>
        <rFont val="Microsoft Sans Serif"/>
        <family val="2"/>
      </rPr>
      <t>94 FE</t>
    </r>
    <r>
      <rPr>
        <sz val="12"/>
        <color theme="1"/>
        <rFont val="Microsoft Sans Serif"/>
        <family val="2"/>
      </rPr>
      <t xml:space="preserve"> 00 00</t>
    </r>
  </si>
  <si>
    <t>反馈电机实际电流</t>
  </si>
  <si>
    <r>
      <rPr>
        <sz val="12"/>
        <color theme="1"/>
        <rFont val="Microsoft Sans Serif"/>
        <family val="2"/>
      </rPr>
      <t xml:space="preserve">2B 40 60 00 </t>
    </r>
    <r>
      <rPr>
        <sz val="12"/>
        <color rgb="FFFF0000"/>
        <rFont val="Microsoft Sans Serif"/>
        <family val="2"/>
      </rPr>
      <t>07 00</t>
    </r>
    <r>
      <rPr>
        <sz val="12"/>
        <color theme="1"/>
        <rFont val="Microsoft Sans Serif"/>
        <family val="2"/>
      </rPr>
      <t xml:space="preserve"> 00 00</t>
    </r>
  </si>
  <si>
    <t>松开抱闸</t>
  </si>
  <si>
    <t>40 64 60 00 00 00 00 00</t>
  </si>
  <si>
    <t>读取电机实际位置</t>
  </si>
  <si>
    <r>
      <rPr>
        <sz val="12"/>
        <color theme="1"/>
        <rFont val="Microsoft Sans Serif"/>
        <family val="2"/>
      </rPr>
      <t xml:space="preserve">2B 40 60 00 </t>
    </r>
    <r>
      <rPr>
        <sz val="12"/>
        <color rgb="FFFF0000"/>
        <rFont val="Microsoft Sans Serif"/>
        <family val="2"/>
      </rPr>
      <t>0F 00</t>
    </r>
    <r>
      <rPr>
        <sz val="12"/>
        <color theme="1"/>
        <rFont val="Microsoft Sans Serif"/>
        <family val="2"/>
      </rPr>
      <t xml:space="preserve"> 00 00</t>
    </r>
  </si>
  <si>
    <t>电机使能激活</t>
  </si>
  <si>
    <r>
      <rPr>
        <sz val="12"/>
        <color theme="1"/>
        <rFont val="Microsoft Sans Serif"/>
        <family val="2"/>
      </rPr>
      <t xml:space="preserve">43 64 60 00 </t>
    </r>
    <r>
      <rPr>
        <sz val="12"/>
        <color rgb="FFFF0000"/>
        <rFont val="Microsoft Sans Serif"/>
        <family val="2"/>
      </rPr>
      <t>00 00 00 00</t>
    </r>
  </si>
  <si>
    <t>反馈电机实际位置</t>
  </si>
  <si>
    <t>设置运动模式：</t>
  </si>
  <si>
    <t>40 6C 60 00 00 00 00 00</t>
  </si>
  <si>
    <t>读取电机实际速度</t>
  </si>
  <si>
    <r>
      <rPr>
        <sz val="12"/>
        <color theme="1"/>
        <rFont val="Microsoft Sans Serif"/>
        <family val="2"/>
      </rPr>
      <t xml:space="preserve">2F 60 60 00 </t>
    </r>
    <r>
      <rPr>
        <sz val="12"/>
        <color rgb="FFFF0000"/>
        <rFont val="Microsoft Sans Serif"/>
        <family val="2"/>
      </rPr>
      <t>01</t>
    </r>
    <r>
      <rPr>
        <sz val="12"/>
        <color theme="1"/>
        <rFont val="Microsoft Sans Serif"/>
        <family val="2"/>
      </rPr>
      <t xml:space="preserve"> 00 00 00</t>
    </r>
  </si>
  <si>
    <t>设置位置模式</t>
  </si>
  <si>
    <r>
      <rPr>
        <sz val="12"/>
        <color theme="1"/>
        <rFont val="Microsoft Sans Serif"/>
        <family val="2"/>
      </rPr>
      <t xml:space="preserve">43 6C 60 00 </t>
    </r>
    <r>
      <rPr>
        <sz val="12"/>
        <color rgb="FFFF0000"/>
        <rFont val="Microsoft Sans Serif"/>
        <family val="2"/>
      </rPr>
      <t>00 00 00 00</t>
    </r>
  </si>
  <si>
    <t>反馈电机实际速度</t>
  </si>
  <si>
    <t>设置运动参数：</t>
  </si>
  <si>
    <r>
      <rPr>
        <sz val="12"/>
        <color theme="1"/>
        <rFont val="Microsoft Sans Serif"/>
        <family val="2"/>
      </rPr>
      <t xml:space="preserve">23 83 60 00 </t>
    </r>
    <r>
      <rPr>
        <sz val="12"/>
        <color rgb="FFFF0000"/>
        <rFont val="Microsoft Sans Serif"/>
        <family val="2"/>
      </rPr>
      <t>D0 07 00 00</t>
    </r>
  </si>
  <si>
    <t>设置加速度为2000(RPM/S)</t>
  </si>
  <si>
    <t>0~10000</t>
  </si>
  <si>
    <r>
      <rPr>
        <sz val="12"/>
        <color theme="1"/>
        <rFont val="Microsoft Sans Serif"/>
        <family val="2"/>
      </rPr>
      <t xml:space="preserve">23 84 60 00 </t>
    </r>
    <r>
      <rPr>
        <sz val="12"/>
        <color rgb="FFFF0000"/>
        <rFont val="Microsoft Sans Serif"/>
        <family val="2"/>
      </rPr>
      <t>D0 07 00 00</t>
    </r>
  </si>
  <si>
    <t>设置减速度为2000(RPM/S)</t>
  </si>
  <si>
    <t>40 3F 60 00 00 00 00 00</t>
  </si>
  <si>
    <t>读取电机故障</t>
  </si>
  <si>
    <r>
      <rPr>
        <sz val="12"/>
        <color theme="1"/>
        <rFont val="Microsoft Sans Serif"/>
        <family val="2"/>
      </rPr>
      <t xml:space="preserve">23 81 60 00 </t>
    </r>
    <r>
      <rPr>
        <sz val="12"/>
        <color rgb="FFFF0000"/>
        <rFont val="Microsoft Sans Serif"/>
        <family val="2"/>
      </rPr>
      <t>0A 00 00 00</t>
    </r>
  </si>
  <si>
    <t>设置速度为10(RPM)</t>
  </si>
  <si>
    <t>0~30</t>
  </si>
  <si>
    <r>
      <rPr>
        <sz val="12"/>
        <color theme="1"/>
        <rFont val="Microsoft Sans Serif"/>
        <family val="2"/>
      </rPr>
      <t xml:space="preserve">4B 3F 60 00 </t>
    </r>
    <r>
      <rPr>
        <sz val="12"/>
        <color rgb="FFFF0000"/>
        <rFont val="Microsoft Sans Serif"/>
        <family val="2"/>
      </rPr>
      <t>00 00</t>
    </r>
    <r>
      <rPr>
        <sz val="12"/>
        <color theme="1"/>
        <rFont val="Microsoft Sans Serif"/>
        <family val="2"/>
      </rPr>
      <t xml:space="preserve"> 00 00</t>
    </r>
  </si>
  <si>
    <t>反馈电机故障</t>
  </si>
  <si>
    <t>绝对运动：</t>
  </si>
  <si>
    <t>40 41 60 00 00 00 00 00</t>
  </si>
  <si>
    <t>读取电机运动状态</t>
  </si>
  <si>
    <r>
      <rPr>
        <sz val="12"/>
        <color theme="1"/>
        <rFont val="Microsoft Sans Serif"/>
        <family val="2"/>
      </rPr>
      <t xml:space="preserve">23 7A 60 00 </t>
    </r>
    <r>
      <rPr>
        <sz val="12"/>
        <color rgb="FFFF0000"/>
        <rFont val="Microsoft Sans Serif"/>
        <family val="2"/>
      </rPr>
      <t>00 40 00 00</t>
    </r>
  </si>
  <si>
    <t>设置目标位置范围</t>
  </si>
  <si>
    <t>-32767 ~32768（对应角度-180~180）</t>
  </si>
  <si>
    <r>
      <rPr>
        <sz val="12"/>
        <color theme="1"/>
        <rFont val="Microsoft Sans Serif"/>
        <family val="2"/>
      </rPr>
      <t xml:space="preserve">4B 41 60 00 </t>
    </r>
    <r>
      <rPr>
        <sz val="12"/>
        <color rgb="FFFF0000"/>
        <rFont val="Microsoft Sans Serif"/>
        <family val="2"/>
      </rPr>
      <t>00 00</t>
    </r>
    <r>
      <rPr>
        <sz val="12"/>
        <color theme="1"/>
        <rFont val="Microsoft Sans Serif"/>
        <family val="2"/>
      </rPr>
      <t xml:space="preserve"> 00 00</t>
    </r>
  </si>
  <si>
    <t>反馈电机运动状态</t>
  </si>
  <si>
    <t xml:space="preserve">0x0021:准备好启动 0x0023：松开抱闸 0x0027：使能激活 0x0008：报错状态 </t>
  </si>
  <si>
    <r>
      <rPr>
        <sz val="12"/>
        <color theme="1"/>
        <rFont val="Microsoft Sans Serif"/>
        <family val="2"/>
      </rPr>
      <t xml:space="preserve">2B 40 60 00 </t>
    </r>
    <r>
      <rPr>
        <sz val="12"/>
        <color rgb="FFFF0000"/>
        <rFont val="Microsoft Sans Serif"/>
        <family val="2"/>
      </rPr>
      <t>4F 00</t>
    </r>
    <r>
      <rPr>
        <sz val="12"/>
        <color theme="1"/>
        <rFont val="Microsoft Sans Serif"/>
        <family val="2"/>
      </rPr>
      <t xml:space="preserve"> 00 00</t>
    </r>
  </si>
  <si>
    <t>电机开始绝对运动</t>
  </si>
  <si>
    <t>40 63 26 00 00 00 00 00</t>
  </si>
  <si>
    <t>读取力矩传感器</t>
  </si>
  <si>
    <t>停止运动：</t>
  </si>
  <si>
    <r>
      <rPr>
        <sz val="12"/>
        <color theme="1"/>
        <rFont val="Microsoft Sans Serif"/>
        <family val="2"/>
      </rPr>
      <t xml:space="preserve">43 63 26 00 </t>
    </r>
    <r>
      <rPr>
        <sz val="12"/>
        <color rgb="FFFF0000"/>
        <rFont val="Microsoft Sans Serif"/>
        <family val="2"/>
      </rPr>
      <t>1D 00 00 00</t>
    </r>
  </si>
  <si>
    <t>反馈力矩传感器</t>
  </si>
  <si>
    <t>电机停止运动</t>
  </si>
  <si>
    <t>反馈温度传感器</t>
  </si>
  <si>
    <t>28.0°</t>
  </si>
  <si>
    <t>速度模式举例 速度环的速度与加速度是电机端的速度</t>
  </si>
  <si>
    <r>
      <rPr>
        <sz val="12"/>
        <color theme="1"/>
        <rFont val="Microsoft Sans Serif"/>
        <family val="2"/>
      </rPr>
      <t xml:space="preserve">2F 60 60 00 </t>
    </r>
    <r>
      <rPr>
        <sz val="12"/>
        <color rgb="FFFF0000"/>
        <rFont val="Microsoft Sans Serif"/>
        <family val="2"/>
      </rPr>
      <t>03</t>
    </r>
    <r>
      <rPr>
        <sz val="12"/>
        <color theme="1"/>
        <rFont val="Microsoft Sans Serif"/>
        <family val="2"/>
      </rPr>
      <t xml:space="preserve"> 00 00 00</t>
    </r>
  </si>
  <si>
    <t>设置速度模式</t>
  </si>
  <si>
    <r>
      <rPr>
        <sz val="12"/>
        <color theme="1"/>
        <rFont val="Microsoft Sans Serif"/>
        <family val="2"/>
      </rPr>
      <t xml:space="preserve">23 83 60 00 </t>
    </r>
    <r>
      <rPr>
        <sz val="12"/>
        <color rgb="FFFF0000"/>
        <rFont val="Microsoft Sans Serif"/>
        <family val="2"/>
      </rPr>
      <t>E8 03 00 00</t>
    </r>
  </si>
  <si>
    <t>设置加速度为1000(RPM/S)</t>
  </si>
  <si>
    <r>
      <rPr>
        <sz val="12"/>
        <color theme="1"/>
        <rFont val="Microsoft Sans Serif"/>
        <family val="2"/>
      </rPr>
      <t xml:space="preserve">23 84 60 00 </t>
    </r>
    <r>
      <rPr>
        <sz val="12"/>
        <color rgb="FFFF0000"/>
        <rFont val="Microsoft Sans Serif"/>
        <family val="2"/>
      </rPr>
      <t>E8 03 00 00</t>
    </r>
  </si>
  <si>
    <t>设置减速度为1000(RPM/S)</t>
  </si>
  <si>
    <r>
      <rPr>
        <sz val="12"/>
        <color theme="1"/>
        <rFont val="Microsoft Sans Serif"/>
        <family val="2"/>
      </rPr>
      <t xml:space="preserve">23 FF 60 00 </t>
    </r>
    <r>
      <rPr>
        <sz val="12"/>
        <color rgb="FFFF0000"/>
        <rFont val="Microsoft Sans Serif"/>
        <family val="2"/>
      </rPr>
      <t>F4 01 00 00</t>
    </r>
  </si>
  <si>
    <t>设置速度为500(RPM)</t>
  </si>
  <si>
    <t>-3000~3000</t>
  </si>
  <si>
    <t>电流模式举例 最大电流建议用默认（与电机峰值电流保持）</t>
  </si>
  <si>
    <r>
      <rPr>
        <sz val="12"/>
        <color theme="1"/>
        <rFont val="Microsoft Sans Serif"/>
        <family val="2"/>
      </rPr>
      <t xml:space="preserve">2F 60 60 00 </t>
    </r>
    <r>
      <rPr>
        <sz val="12"/>
        <color rgb="FFFF0000"/>
        <rFont val="Microsoft Sans Serif"/>
        <family val="2"/>
      </rPr>
      <t>0A</t>
    </r>
    <r>
      <rPr>
        <sz val="12"/>
        <color theme="1"/>
        <rFont val="Microsoft Sans Serif"/>
        <family val="2"/>
      </rPr>
      <t xml:space="preserve"> 00 00 00</t>
    </r>
  </si>
  <si>
    <t>设置电流模式</t>
  </si>
  <si>
    <r>
      <rPr>
        <sz val="12"/>
        <color theme="1"/>
        <rFont val="Microsoft Sans Serif"/>
        <family val="2"/>
      </rPr>
      <t xml:space="preserve">2B 71 60 00 </t>
    </r>
    <r>
      <rPr>
        <sz val="12"/>
        <color rgb="FFFF0000"/>
        <rFont val="Microsoft Sans Serif"/>
        <family val="2"/>
      </rPr>
      <t>F4 01</t>
    </r>
    <r>
      <rPr>
        <sz val="12"/>
        <color theme="1"/>
        <rFont val="Microsoft Sans Serif"/>
        <family val="2"/>
      </rPr>
      <t xml:space="preserve"> 00 00</t>
    </r>
  </si>
  <si>
    <t>设置目标电流为500(mA)</t>
  </si>
  <si>
    <t>-10000~10000（根据电机型号）</t>
  </si>
  <si>
    <t>修改电机ID举例</t>
  </si>
  <si>
    <t>设置电机ID为5</t>
  </si>
  <si>
    <t>设置电机零位</t>
  </si>
  <si>
    <r>
      <rPr>
        <sz val="12"/>
        <color theme="1"/>
        <rFont val="Microsoft Sans Serif"/>
        <family val="2"/>
      </rPr>
      <t>23 31 25 00</t>
    </r>
    <r>
      <rPr>
        <sz val="12"/>
        <color rgb="FFFF0000"/>
        <rFont val="Microsoft Sans Serif"/>
        <family val="2"/>
      </rPr>
      <t xml:space="preserve"> 01 00</t>
    </r>
    <r>
      <rPr>
        <sz val="12"/>
        <color theme="1"/>
        <rFont val="Microsoft Sans Serif"/>
        <family val="2"/>
      </rPr>
      <t xml:space="preserve"> 00 00</t>
    </r>
  </si>
  <si>
    <t>设置零位</t>
  </si>
  <si>
    <r>
      <rPr>
        <sz val="12"/>
        <color theme="1"/>
        <rFont val="Microsoft Sans Serif"/>
        <family val="2"/>
      </rPr>
      <t>23 39 25 00</t>
    </r>
    <r>
      <rPr>
        <sz val="12"/>
        <color rgb="FFFF0000"/>
        <rFont val="Microsoft Sans Serif"/>
        <family val="2"/>
      </rPr>
      <t xml:space="preserve"> 02 00</t>
    </r>
    <r>
      <rPr>
        <sz val="12"/>
        <color theme="1"/>
        <rFont val="Microsoft Sans Serif"/>
        <family val="2"/>
      </rPr>
      <t xml:space="preserve"> 00 00</t>
    </r>
  </si>
  <si>
    <t>设置时电机失能状态，掰到正限位再设置（默认参数：-180到180）</t>
  </si>
  <si>
    <r>
      <rPr>
        <sz val="12"/>
        <color theme="1"/>
        <rFont val="Microsoft Sans Serif"/>
        <family val="2"/>
      </rPr>
      <t>23 39 25 00</t>
    </r>
    <r>
      <rPr>
        <sz val="12"/>
        <color rgb="FFFF0000"/>
        <rFont val="Microsoft Sans Serif"/>
        <family val="2"/>
      </rPr>
      <t xml:space="preserve"> 04 00</t>
    </r>
    <r>
      <rPr>
        <sz val="12"/>
        <color theme="1"/>
        <rFont val="Microsoft Sans Serif"/>
        <family val="2"/>
      </rPr>
      <t xml:space="preserve"> 00 00</t>
    </r>
  </si>
  <si>
    <t>设置时电机失能状态，掰到负限位再设置（默认参数：-180到180）</t>
  </si>
  <si>
    <t>设置电机电流环P</t>
  </si>
  <si>
    <r>
      <rPr>
        <sz val="12"/>
        <color theme="1"/>
        <rFont val="Microsoft Sans Serif"/>
        <family val="2"/>
      </rPr>
      <t>23 32 25 00</t>
    </r>
    <r>
      <rPr>
        <sz val="12"/>
        <color rgb="FFFF0000"/>
        <rFont val="Microsoft Sans Serif"/>
        <family val="2"/>
      </rPr>
      <t xml:space="preserve"> 00 00</t>
    </r>
    <r>
      <rPr>
        <sz val="12"/>
        <color theme="1"/>
        <rFont val="Microsoft Sans Serif"/>
        <family val="2"/>
      </rPr>
      <t xml:space="preserve"> 00 00</t>
    </r>
  </si>
  <si>
    <t>设置电机电流环I</t>
  </si>
  <si>
    <r>
      <rPr>
        <sz val="12"/>
        <color theme="1"/>
        <rFont val="Microsoft Sans Serif"/>
        <family val="2"/>
      </rPr>
      <t>23 33 25 00</t>
    </r>
    <r>
      <rPr>
        <sz val="12"/>
        <color rgb="FFFF0000"/>
        <rFont val="Microsoft Sans Serif"/>
        <family val="2"/>
      </rPr>
      <t xml:space="preserve"> 00 00</t>
    </r>
    <r>
      <rPr>
        <sz val="12"/>
        <color theme="1"/>
        <rFont val="Microsoft Sans Serif"/>
        <family val="2"/>
      </rPr>
      <t xml:space="preserve"> 00 00</t>
    </r>
  </si>
  <si>
    <t>设置电机速度环P</t>
  </si>
  <si>
    <r>
      <rPr>
        <sz val="12"/>
        <color theme="1"/>
        <rFont val="Microsoft Sans Serif"/>
        <family val="2"/>
      </rPr>
      <t>23 34 25 00</t>
    </r>
    <r>
      <rPr>
        <sz val="12"/>
        <color rgb="FFFF0000"/>
        <rFont val="Microsoft Sans Serif"/>
        <family val="2"/>
      </rPr>
      <t xml:space="preserve"> 00 00</t>
    </r>
    <r>
      <rPr>
        <sz val="12"/>
        <color theme="1"/>
        <rFont val="Microsoft Sans Serif"/>
        <family val="2"/>
      </rPr>
      <t xml:space="preserve"> 00 00</t>
    </r>
  </si>
  <si>
    <t>设置电机速度环I</t>
  </si>
  <si>
    <r>
      <rPr>
        <sz val="12"/>
        <color theme="1"/>
        <rFont val="Microsoft Sans Serif"/>
        <family val="2"/>
      </rPr>
      <t>23 35 25 00</t>
    </r>
    <r>
      <rPr>
        <sz val="12"/>
        <color rgb="FFFF0000"/>
        <rFont val="Microsoft Sans Serif"/>
        <family val="2"/>
      </rPr>
      <t xml:space="preserve"> 00 00</t>
    </r>
    <r>
      <rPr>
        <sz val="12"/>
        <color theme="1"/>
        <rFont val="Microsoft Sans Serif"/>
        <family val="2"/>
      </rPr>
      <t xml:space="preserve"> 00 00</t>
    </r>
  </si>
  <si>
    <t>设置电机位置环P</t>
  </si>
  <si>
    <r>
      <rPr>
        <sz val="12"/>
        <color theme="1"/>
        <rFont val="Microsoft Sans Serif"/>
        <family val="2"/>
      </rPr>
      <t>23 36 25 00</t>
    </r>
    <r>
      <rPr>
        <sz val="12"/>
        <color rgb="FFFF0000"/>
        <rFont val="Microsoft Sans Serif"/>
        <family val="2"/>
      </rPr>
      <t xml:space="preserve"> 00 00</t>
    </r>
    <r>
      <rPr>
        <sz val="12"/>
        <color theme="1"/>
        <rFont val="Microsoft Sans Serif"/>
        <family val="2"/>
      </rPr>
      <t xml:space="preserve"> 00 00</t>
    </r>
  </si>
  <si>
    <t>设置电机位置环I</t>
  </si>
  <si>
    <r>
      <rPr>
        <sz val="12"/>
        <color theme="1"/>
        <rFont val="Microsoft Sans Serif"/>
        <family val="2"/>
      </rPr>
      <t>23 37 25 00</t>
    </r>
    <r>
      <rPr>
        <sz val="12"/>
        <color rgb="FFFF0000"/>
        <rFont val="Microsoft Sans Serif"/>
        <family val="2"/>
      </rPr>
      <t xml:space="preserve"> 00 00</t>
    </r>
    <r>
      <rPr>
        <sz val="12"/>
        <color theme="1"/>
        <rFont val="Microsoft Sans Serif"/>
        <family val="2"/>
      </rPr>
      <t xml:space="preserve"> 00 00</t>
    </r>
  </si>
  <si>
    <t>设置电机最大电流</t>
  </si>
  <si>
    <r>
      <rPr>
        <sz val="12"/>
        <color theme="1"/>
        <rFont val="Microsoft Sans Serif"/>
        <family val="2"/>
      </rPr>
      <t>23 38 25 00</t>
    </r>
    <r>
      <rPr>
        <sz val="12"/>
        <color rgb="FFFF0000"/>
        <rFont val="Microsoft Sans Serif"/>
        <family val="2"/>
      </rPr>
      <t xml:space="preserve"> 00 00</t>
    </r>
    <r>
      <rPr>
        <sz val="12"/>
        <color theme="1"/>
        <rFont val="Microsoft Sans Serif"/>
        <family val="2"/>
      </rPr>
      <t xml:space="preserve"> 00 00</t>
    </r>
  </si>
  <si>
    <t>将写入的PI和最大电流保存FLASH</t>
  </si>
  <si>
    <r>
      <rPr>
        <sz val="12"/>
        <color theme="1"/>
        <rFont val="Microsoft Sans Serif"/>
        <family val="2"/>
      </rPr>
      <t>23 39 25 00</t>
    </r>
    <r>
      <rPr>
        <sz val="12"/>
        <color rgb="FFFF0000"/>
        <rFont val="Microsoft Sans Serif"/>
        <family val="2"/>
      </rPr>
      <t xml:space="preserve"> 01 00</t>
    </r>
    <r>
      <rPr>
        <sz val="12"/>
        <color theme="1"/>
        <rFont val="Microsoft Sans Serif"/>
        <family val="2"/>
      </rPr>
      <t xml:space="preserve"> 00 00</t>
    </r>
  </si>
  <si>
    <t>写入FLASH</t>
  </si>
  <si>
    <t>设置心跳</t>
  </si>
  <si>
    <r>
      <rPr>
        <sz val="12"/>
        <color theme="1"/>
        <rFont val="Microsoft Sans Serif"/>
        <family val="2"/>
      </rPr>
      <t xml:space="preserve">2B 17 10 00 </t>
    </r>
    <r>
      <rPr>
        <sz val="12"/>
        <color rgb="FFFF0000"/>
        <rFont val="Microsoft Sans Serif"/>
        <family val="2"/>
      </rPr>
      <t>D0 07</t>
    </r>
    <r>
      <rPr>
        <sz val="12"/>
        <color theme="1"/>
        <rFont val="Microsoft Sans Serif"/>
        <family val="2"/>
      </rPr>
      <t xml:space="preserve"> 00 00</t>
    </r>
  </si>
  <si>
    <t>设置心跳时间2000ms</t>
  </si>
  <si>
    <t>设置为0时关闭心跳</t>
  </si>
  <si>
    <t>说明：标红色字体及为设置的目标值，数据高位在后，低位在前</t>
  </si>
  <si>
    <t>CAN数据段通讯波特率</t>
    <phoneticPr fontId="10" type="noConversion"/>
  </si>
  <si>
    <t>3</t>
    <phoneticPr fontId="10" type="noConversion"/>
  </si>
  <si>
    <r>
      <t xml:space="preserve">43 62 26 00 </t>
    </r>
    <r>
      <rPr>
        <sz val="12"/>
        <color rgb="FFFF0000"/>
        <rFont val="Microsoft Sans Serif"/>
        <family val="2"/>
      </rPr>
      <t>18 01 00 00</t>
    </r>
    <phoneticPr fontId="10" type="noConversion"/>
  </si>
  <si>
    <r>
      <t>23 30 25 00</t>
    </r>
    <r>
      <rPr>
        <sz val="12"/>
        <color rgb="FFFF0000"/>
        <rFont val="Microsoft Sans Serif"/>
        <family val="2"/>
      </rPr>
      <t xml:space="preserve"> 05 00</t>
    </r>
    <r>
      <rPr>
        <sz val="12"/>
        <color theme="1"/>
        <rFont val="Microsoft Sans Serif"/>
        <family val="2"/>
      </rPr>
      <t xml:space="preserve"> 00 00</t>
    </r>
    <phoneticPr fontId="10" type="noConversion"/>
  </si>
  <si>
    <t>设置时电机需要在失能状态</t>
    <phoneticPr fontId="10" type="noConversion"/>
  </si>
  <si>
    <t>设置正限位</t>
    <phoneticPr fontId="10" type="noConversion"/>
  </si>
  <si>
    <t>设置负限位</t>
    <phoneticPr fontId="10" type="noConversion"/>
  </si>
  <si>
    <t>CAN帧</t>
    <phoneticPr fontId="10" type="noConversion"/>
  </si>
  <si>
    <t>字段名称</t>
    <phoneticPr fontId="10" type="noConversion"/>
  </si>
  <si>
    <t>字节长度</t>
    <phoneticPr fontId="10" type="noConversion"/>
  </si>
  <si>
    <t>内容说明</t>
    <phoneticPr fontId="10" type="noConversion"/>
  </si>
  <si>
    <t>StdID</t>
    <phoneticPr fontId="10" type="noConversion"/>
  </si>
  <si>
    <t>设备地址</t>
    <phoneticPr fontId="10" type="noConversion"/>
  </si>
  <si>
    <t>11bit</t>
    <phoneticPr fontId="10" type="noConversion"/>
  </si>
  <si>
    <t>600|Dev_ID</t>
    <phoneticPr fontId="10" type="noConversion"/>
  </si>
  <si>
    <t>DLC</t>
    <phoneticPr fontId="10" type="noConversion"/>
  </si>
  <si>
    <t>帧长度</t>
    <phoneticPr fontId="10" type="noConversion"/>
  </si>
  <si>
    <t>0x08</t>
    <phoneticPr fontId="10" type="noConversion"/>
  </si>
  <si>
    <t>[0]</t>
    <phoneticPr fontId="10" type="noConversion"/>
  </si>
  <si>
    <t>指令代码</t>
    <phoneticPr fontId="10" type="noConversion"/>
  </si>
  <si>
    <t>16bit</t>
    <phoneticPr fontId="10" type="noConversion"/>
  </si>
  <si>
    <t>参考指令代码说明</t>
    <phoneticPr fontId="10" type="noConversion"/>
  </si>
  <si>
    <t>设置电机负限位</t>
    <phoneticPr fontId="10" type="noConversion"/>
  </si>
  <si>
    <t>设置电机正限位</t>
    <phoneticPr fontId="10" type="noConversion"/>
  </si>
  <si>
    <t>[1]</t>
    <phoneticPr fontId="10" type="noConversion"/>
  </si>
  <si>
    <t>[2]</t>
    <phoneticPr fontId="10" type="noConversion"/>
  </si>
  <si>
    <t>[3]</t>
    <phoneticPr fontId="10" type="noConversion"/>
  </si>
  <si>
    <t>[4]</t>
    <phoneticPr fontId="10" type="noConversion"/>
  </si>
  <si>
    <t>[5]</t>
    <phoneticPr fontId="10" type="noConversion"/>
  </si>
  <si>
    <t>[6]</t>
    <phoneticPr fontId="10" type="noConversion"/>
  </si>
  <si>
    <t>[7]</t>
    <phoneticPr fontId="10" type="noConversion"/>
  </si>
  <si>
    <t>字典索引</t>
    <phoneticPr fontId="10" type="noConversion"/>
  </si>
  <si>
    <t>子索引</t>
    <phoneticPr fontId="10" type="noConversion"/>
  </si>
  <si>
    <t>32bit</t>
    <phoneticPr fontId="10" type="noConversion"/>
  </si>
  <si>
    <t>参考字典表</t>
    <phoneticPr fontId="10" type="noConversion"/>
  </si>
  <si>
    <t>/</t>
    <phoneticPr fontId="10" type="noConversion"/>
  </si>
  <si>
    <t>ID的范围为：1~127
数据地位在前，高位在后</t>
    <phoneticPr fontId="10" type="noConversion"/>
  </si>
  <si>
    <t>需要修改的DI号</t>
    <phoneticPr fontId="10" type="noConversion"/>
  </si>
  <si>
    <r>
      <t>SDO</t>
    </r>
    <r>
      <rPr>
        <sz val="14"/>
        <rFont val="宋体"/>
        <family val="3"/>
        <charset val="134"/>
      </rPr>
      <t>控制举例</t>
    </r>
    <r>
      <rPr>
        <sz val="14"/>
        <rFont val="Microsoft Sans Serif"/>
        <family val="2"/>
      </rPr>
      <t>,</t>
    </r>
    <r>
      <rPr>
        <sz val="14"/>
        <rFont val="宋体"/>
        <family val="2"/>
        <charset val="134"/>
      </rPr>
      <t>以电机</t>
    </r>
    <r>
      <rPr>
        <sz val="14"/>
        <rFont val="Microsoft Sans Serif"/>
        <family val="2"/>
      </rPr>
      <t>ID</t>
    </r>
    <r>
      <rPr>
        <sz val="14"/>
        <rFont val="宋体"/>
        <family val="2"/>
        <charset val="134"/>
      </rPr>
      <t>为1为例</t>
    </r>
    <phoneticPr fontId="10" type="noConversion"/>
  </si>
  <si>
    <r>
      <t>SDO</t>
    </r>
    <r>
      <rPr>
        <sz val="14"/>
        <rFont val="宋体"/>
        <family val="3"/>
        <charset val="134"/>
      </rPr>
      <t>读取反馈状态举例，</t>
    </r>
    <r>
      <rPr>
        <sz val="14"/>
        <rFont val="宋体"/>
        <family val="2"/>
        <charset val="134"/>
      </rPr>
      <t>以电机</t>
    </r>
    <r>
      <rPr>
        <sz val="14"/>
        <rFont val="Microsoft Sans Serif"/>
        <family val="2"/>
      </rPr>
      <t>ID</t>
    </r>
    <r>
      <rPr>
        <sz val="14"/>
        <rFont val="宋体"/>
        <family val="2"/>
        <charset val="134"/>
      </rPr>
      <t>为</t>
    </r>
    <r>
      <rPr>
        <sz val="14"/>
        <rFont val="Microsoft Sans Serif"/>
        <family val="2"/>
      </rPr>
      <t>1</t>
    </r>
    <r>
      <rPr>
        <sz val="14"/>
        <rFont val="宋体"/>
        <family val="2"/>
        <charset val="134"/>
      </rPr>
      <t>为例</t>
    </r>
    <phoneticPr fontId="10" type="noConversion"/>
  </si>
  <si>
    <t xml:space="preserve">0x0001:过压 0x0002：欠压  0x0004：过温报错 0x0008：堵转 0x0010：过载  0x0020：电流采样错误  0x0040：正限位保护  0x0080：负限位保护  0x0100：编码器通信超时  0x0200：电机超过最大速度  0x0400：上电电角度初始化失败  0x1000：位置误差过大  0x2000：编码器故障  </t>
    <phoneticPr fontId="10" type="noConversion"/>
  </si>
  <si>
    <t>以主站下发到从站，修改电机ID举例说明</t>
    <phoneticPr fontId="10" type="noConversion"/>
  </si>
  <si>
    <t>关闭看门狗和限位保护</t>
    <phoneticPr fontId="10" type="noConversion"/>
  </si>
  <si>
    <t>23 50 26 00 01 00 00 00</t>
    <phoneticPr fontId="10" type="noConversion"/>
  </si>
  <si>
    <t>执行器发给上位机</t>
    <phoneticPr fontId="10" type="noConversion"/>
  </si>
  <si>
    <t>字节</t>
    <phoneticPr fontId="10" type="noConversion"/>
  </si>
  <si>
    <t>内容说明（数据）</t>
    <phoneticPr fontId="10" type="noConversion"/>
  </si>
  <si>
    <t>0x300|Dev_ID</t>
    <phoneticPr fontId="10" type="noConversion"/>
  </si>
  <si>
    <t>Byte[0]为高8位，Byte[1]为低8位;[-32768到32767]对应(-180°~ 180°);</t>
    <phoneticPr fontId="10" type="noConversion"/>
  </si>
  <si>
    <t>负载端实际位置</t>
    <phoneticPr fontId="10" type="noConversion"/>
  </si>
  <si>
    <t>电机端实际速度</t>
    <phoneticPr fontId="10" type="noConversion"/>
  </si>
  <si>
    <t>实际电流（Iq）</t>
    <phoneticPr fontId="10" type="noConversion"/>
  </si>
  <si>
    <t>错误代码</t>
    <phoneticPr fontId="10" type="noConversion"/>
  </si>
  <si>
    <t>电机线圈温度</t>
    <phoneticPr fontId="10" type="noConversion"/>
  </si>
  <si>
    <t>[8]</t>
    <phoneticPr fontId="10" type="noConversion"/>
  </si>
  <si>
    <t>[9]</t>
    <phoneticPr fontId="10" type="noConversion"/>
  </si>
  <si>
    <t>[10]</t>
    <phoneticPr fontId="10" type="noConversion"/>
  </si>
  <si>
    <t>[11]</t>
    <phoneticPr fontId="10" type="noConversion"/>
  </si>
  <si>
    <t>8bit</t>
    <phoneticPr fontId="10" type="noConversion"/>
  </si>
  <si>
    <t>Bit[0]</t>
    <phoneticPr fontId="10" type="noConversion"/>
  </si>
  <si>
    <t>使能状态</t>
    <phoneticPr fontId="10" type="noConversion"/>
  </si>
  <si>
    <t>1bit</t>
    <phoneticPr fontId="10" type="noConversion"/>
  </si>
  <si>
    <t>抱闸状态</t>
    <phoneticPr fontId="10" type="noConversion"/>
  </si>
  <si>
    <t>报错状态</t>
    <phoneticPr fontId="10" type="noConversion"/>
  </si>
  <si>
    <t>执行器反馈报文</t>
    <phoneticPr fontId="10" type="noConversion"/>
  </si>
  <si>
    <t>Byte[6]为高8位，Byte[7]为低8位;参考报错代码表</t>
    <phoneticPr fontId="10" type="noConversion"/>
  </si>
  <si>
    <t>Byte[8]为高8位，Byte[9]为低8位;int16类型，单位：0.1度;</t>
    <phoneticPr fontId="10" type="noConversion"/>
  </si>
  <si>
    <t>0x00：下使能  0x01：上使能</t>
    <phoneticPr fontId="10" type="noConversion"/>
  </si>
  <si>
    <t>0x00：抱闸吸合 0x01：抱闸释放</t>
    <phoneticPr fontId="10" type="noConversion"/>
  </si>
  <si>
    <t>0x00：正常状态 0x01：报错状态</t>
    <phoneticPr fontId="10" type="noConversion"/>
  </si>
  <si>
    <t>0x00：运行中 0x01：运行到位</t>
    <phoneticPr fontId="10" type="noConversion"/>
  </si>
  <si>
    <t>单执行器控制报文</t>
  </si>
  <si>
    <t>上位机发给执行器</t>
    <phoneticPr fontId="10" type="noConversion"/>
  </si>
  <si>
    <t>预留</t>
    <phoneticPr fontId="10" type="noConversion"/>
  </si>
  <si>
    <t>Bit[7]</t>
    <phoneticPr fontId="10" type="noConversion"/>
  </si>
  <si>
    <t>Bit[6]</t>
    <phoneticPr fontId="10" type="noConversion"/>
  </si>
  <si>
    <t>Bit[5]</t>
    <phoneticPr fontId="10" type="noConversion"/>
  </si>
  <si>
    <t>Bit[4]</t>
    <phoneticPr fontId="10" type="noConversion"/>
  </si>
  <si>
    <t>Bit[3~0]</t>
    <phoneticPr fontId="10" type="noConversion"/>
  </si>
  <si>
    <t>0x100|Dev_ID</t>
    <phoneticPr fontId="10" type="noConversion"/>
  </si>
  <si>
    <t>使能控制</t>
    <phoneticPr fontId="10" type="noConversion"/>
  </si>
  <si>
    <t>抱闸控制</t>
    <phoneticPr fontId="10" type="noConversion"/>
  </si>
  <si>
    <t>位置到位状态</t>
    <phoneticPr fontId="10" type="noConversion"/>
  </si>
  <si>
    <t>清楚错误控制</t>
    <phoneticPr fontId="10" type="noConversion"/>
  </si>
  <si>
    <t>0：默认 1：复位错误</t>
    <phoneticPr fontId="10" type="noConversion"/>
  </si>
  <si>
    <t>控制模式反馈</t>
    <phoneticPr fontId="10" type="noConversion"/>
  </si>
  <si>
    <t>控制模式</t>
    <phoneticPr fontId="10" type="noConversion"/>
  </si>
  <si>
    <t>Bit[4~1]</t>
    <phoneticPr fontId="10" type="noConversion"/>
  </si>
  <si>
    <t>4bit</t>
    <phoneticPr fontId="10" type="noConversion"/>
  </si>
  <si>
    <t>0x01：轮廓位置模式；0x02：轮廓速度模式；
0x03：CSP位置模式；0x04：CSV速度模式；
0x05：电流环模式；</t>
    <phoneticPr fontId="10" type="noConversion"/>
  </si>
  <si>
    <t>目标参数1</t>
    <phoneticPr fontId="10" type="noConversion"/>
  </si>
  <si>
    <t>目标参数2</t>
    <phoneticPr fontId="10" type="noConversion"/>
  </si>
  <si>
    <t>Byte[2]为高8位，Byte[3]为低8位;int16类型[-32768到32767]，单位：RPM;</t>
    <phoneticPr fontId="10" type="noConversion"/>
  </si>
  <si>
    <t>Byte[4]为高8位，Byte[5]为低8位;int16类型[-32768到32767]，单位：mA;</t>
    <phoneticPr fontId="10" type="noConversion"/>
  </si>
  <si>
    <t>Byte[1]为高8位，Byte[2]为低8位：
1、当控制模式为位置模式时（0x01，0x03），对应为输出端目标位置，范围是[-32768到32767]对应(-180°~ 180°);
2、当控制模式为速度模式时（0x02，0x04），对应为电机端的目标速度，范围是[-32768到32767]，单位：RPM;
3、当控制模式为电流模式时（0x05），对应为电机目标Iq电流，范围是[-32768到32767]，单位：mA;</t>
    <phoneticPr fontId="10" type="noConversion"/>
  </si>
  <si>
    <t>目标前馈参数</t>
    <phoneticPr fontId="10" type="noConversion"/>
  </si>
  <si>
    <t>Byte[3]为高8位，Byte[4]为低8位;
1、当控制模式为轮廓位置模式与轮廓速度模式时（0x01，0x02），对应为轮廓的加减速，范围是[0到20000]，单位：RPM/S;</t>
    <phoneticPr fontId="10" type="noConversion"/>
  </si>
  <si>
    <t>执行器多控报文</t>
  </si>
  <si>
    <t>功能用于广播指令同时控制最多8个电机</t>
    <phoneticPr fontId="10" type="noConversion"/>
  </si>
  <si>
    <t>0x200</t>
    <phoneticPr fontId="10" type="noConversion"/>
  </si>
  <si>
    <t>[0]~[6]</t>
    <phoneticPr fontId="10" type="noConversion"/>
  </si>
  <si>
    <t>[7]~[13]</t>
    <phoneticPr fontId="10" type="noConversion"/>
  </si>
  <si>
    <t>[14]~[20]</t>
    <phoneticPr fontId="10" type="noConversion"/>
  </si>
  <si>
    <t>[21]~[27]</t>
    <phoneticPr fontId="10" type="noConversion"/>
  </si>
  <si>
    <t>[28]~[34]</t>
    <phoneticPr fontId="10" type="noConversion"/>
  </si>
  <si>
    <t>[35]~[41]</t>
    <phoneticPr fontId="10" type="noConversion"/>
  </si>
  <si>
    <t>[42]~[48]</t>
    <phoneticPr fontId="10" type="noConversion"/>
  </si>
  <si>
    <t>[49]~[55]</t>
    <phoneticPr fontId="10" type="noConversion"/>
  </si>
  <si>
    <t>[56]</t>
    <phoneticPr fontId="10" type="noConversion"/>
  </si>
  <si>
    <t>[57]</t>
    <phoneticPr fontId="10" type="noConversion"/>
  </si>
  <si>
    <t>[58]</t>
    <phoneticPr fontId="10" type="noConversion"/>
  </si>
  <si>
    <t>[59]</t>
    <phoneticPr fontId="10" type="noConversion"/>
  </si>
  <si>
    <t>[60]</t>
    <phoneticPr fontId="10" type="noConversion"/>
  </si>
  <si>
    <t>[61]</t>
    <phoneticPr fontId="10" type="noConversion"/>
  </si>
  <si>
    <t>[62]</t>
    <phoneticPr fontId="10" type="noConversion"/>
  </si>
  <si>
    <t>[63]</t>
    <phoneticPr fontId="10" type="noConversion"/>
  </si>
  <si>
    <t>112bit</t>
    <phoneticPr fontId="10" type="noConversion"/>
  </si>
  <si>
    <t>控制指令分包1</t>
    <phoneticPr fontId="10" type="noConversion"/>
  </si>
  <si>
    <t>与单轴控制报文协议保持一直</t>
    <phoneticPr fontId="10" type="noConversion"/>
  </si>
  <si>
    <t>控制指令分包2</t>
    <phoneticPr fontId="10" type="noConversion"/>
  </si>
  <si>
    <t>控制指令分包3</t>
    <phoneticPr fontId="10" type="noConversion"/>
  </si>
  <si>
    <t>控制指令分包4</t>
    <phoneticPr fontId="10" type="noConversion"/>
  </si>
  <si>
    <t>控制指令分包5</t>
    <phoneticPr fontId="10" type="noConversion"/>
  </si>
  <si>
    <t>控制指令分包6</t>
    <phoneticPr fontId="10" type="noConversion"/>
  </si>
  <si>
    <t>控制指令分包7</t>
    <phoneticPr fontId="10" type="noConversion"/>
  </si>
  <si>
    <t>控制指令分包8</t>
    <phoneticPr fontId="10" type="noConversion"/>
  </si>
  <si>
    <t>控制指令分包1_对应执行器ID号</t>
    <phoneticPr fontId="10" type="noConversion"/>
  </si>
  <si>
    <t>控制指令分包2_对应执行器ID号</t>
    <phoneticPr fontId="10" type="noConversion"/>
  </si>
  <si>
    <t>控制指令分包3_对应执行器ID号</t>
    <phoneticPr fontId="10" type="noConversion"/>
  </si>
  <si>
    <t>控制指令分包4_对应执行器ID号</t>
    <phoneticPr fontId="10" type="noConversion"/>
  </si>
  <si>
    <t>控制指令分包5_对应执行器ID号</t>
    <phoneticPr fontId="10" type="noConversion"/>
  </si>
  <si>
    <t>控制指令分包6_对应执行器ID号</t>
    <phoneticPr fontId="10" type="noConversion"/>
  </si>
  <si>
    <t>控制指令分包7_对应执行器ID号</t>
    <phoneticPr fontId="10" type="noConversion"/>
  </si>
  <si>
    <t>控制指令分包8_对应执行器ID号</t>
    <phoneticPr fontId="10" type="noConversion"/>
  </si>
  <si>
    <t>对应执行器的ID（Dev_ID）</t>
    <phoneticPr fontId="10" type="noConversion"/>
  </si>
  <si>
    <r>
      <t>CANFD</t>
    </r>
    <r>
      <rPr>
        <b/>
        <sz val="14"/>
        <color theme="1"/>
        <rFont val="等线"/>
        <family val="3"/>
        <charset val="134"/>
      </rPr>
      <t>默认配置为：</t>
    </r>
    <r>
      <rPr>
        <b/>
        <sz val="14"/>
        <color theme="1"/>
        <rFont val="Arial"/>
        <family val="2"/>
      </rPr>
      <t>CANFD</t>
    </r>
    <r>
      <rPr>
        <b/>
        <sz val="14"/>
        <color theme="1"/>
        <rFont val="等线"/>
        <family val="3"/>
        <charset val="134"/>
      </rPr>
      <t>加速</t>
    </r>
    <r>
      <rPr>
        <b/>
        <sz val="14"/>
        <color theme="1"/>
        <rFont val="Arial"/>
        <family val="2"/>
      </rPr>
      <t xml:space="preserve">  </t>
    </r>
    <r>
      <rPr>
        <b/>
        <sz val="14"/>
        <color theme="1"/>
        <rFont val="等线"/>
        <family val="3"/>
        <charset val="134"/>
      </rPr>
      <t>标准帧</t>
    </r>
    <r>
      <rPr>
        <b/>
        <sz val="14"/>
        <color theme="1"/>
        <rFont val="Arial"/>
        <family val="2"/>
      </rPr>
      <t xml:space="preserve">  1M</t>
    </r>
    <r>
      <rPr>
        <b/>
        <sz val="14"/>
        <color theme="1"/>
        <rFont val="等线"/>
        <family val="3"/>
        <charset val="134"/>
      </rPr>
      <t>仲裁段</t>
    </r>
    <r>
      <rPr>
        <b/>
        <sz val="14"/>
        <color theme="1"/>
        <rFont val="Arial"/>
        <family val="2"/>
      </rPr>
      <t xml:space="preserve"> 5M</t>
    </r>
    <r>
      <rPr>
        <b/>
        <sz val="14"/>
        <color theme="1"/>
        <rFont val="等线"/>
        <family val="3"/>
        <charset val="134"/>
      </rPr>
      <t>数据段</t>
    </r>
  </si>
  <si>
    <t>上位机发给执行器</t>
    <phoneticPr fontId="10" type="noConversion"/>
  </si>
  <si>
    <t>功能用于单独控制指定电机</t>
    <phoneticPr fontId="10" type="noConversion"/>
  </si>
  <si>
    <r>
      <t xml:space="preserve">三种方式触发执行器反馈报文：
</t>
    </r>
    <r>
      <rPr>
        <sz val="12"/>
        <color theme="1"/>
        <rFont val="Arial"/>
        <family val="2"/>
      </rPr>
      <t>1</t>
    </r>
    <r>
      <rPr>
        <sz val="12"/>
        <color theme="1"/>
        <rFont val="等线"/>
        <family val="3"/>
        <charset val="134"/>
      </rPr>
      <t>、发送同步帧（上位发送同步报文</t>
    </r>
    <r>
      <rPr>
        <sz val="12"/>
        <color theme="1"/>
        <rFont val="Arial"/>
        <family val="2"/>
      </rPr>
      <t>ID</t>
    </r>
    <r>
      <rPr>
        <sz val="12"/>
        <color theme="1"/>
        <rFont val="等线"/>
        <family val="3"/>
        <charset val="134"/>
      </rPr>
      <t>：</t>
    </r>
    <r>
      <rPr>
        <sz val="12"/>
        <color theme="1"/>
        <rFont val="Arial"/>
        <family val="2"/>
      </rPr>
      <t>0x80</t>
    </r>
    <r>
      <rPr>
        <sz val="12"/>
        <color theme="1"/>
        <rFont val="等线"/>
        <family val="3"/>
        <charset val="134"/>
      </rPr>
      <t xml:space="preserve">）；
</t>
    </r>
    <r>
      <rPr>
        <sz val="12"/>
        <color theme="1"/>
        <rFont val="Arial"/>
        <family val="2"/>
      </rPr>
      <t>2</t>
    </r>
    <r>
      <rPr>
        <sz val="12"/>
        <color theme="1"/>
        <rFont val="等线"/>
        <family val="3"/>
        <charset val="134"/>
      </rPr>
      <t>、执行器多控报文触发执行器的数据反馈；
3、单轴控报文触发执行器的数据反馈；</t>
    </r>
    <phoneticPr fontId="10" type="noConversion"/>
  </si>
  <si>
    <t>Byte[5]为高8位，Byte[6]为低8位;
1、前馈参数的预留；
2、当控制模式为位置模式时（0x01），对应为输出端的轮廓速度；</t>
    <phoneticPr fontId="10" type="noConversion"/>
  </si>
  <si>
    <t>MIT模式下单执行器控制报文</t>
    <phoneticPr fontId="10" type="noConversion"/>
  </si>
  <si>
    <t>MIT模式下执行器多控报文</t>
    <phoneticPr fontId="10" type="noConversion"/>
  </si>
  <si>
    <t>0x110|Dev_ID</t>
    <phoneticPr fontId="10" type="noConversion"/>
  </si>
  <si>
    <t>0x01：轮廓位置模式；0x02：轮廓速度模式；
0x03：CSP位置模式；0x04：CSV速度模式；
0x05：电流环模式；0x06：MIT模式；</t>
    <phoneticPr fontId="10" type="noConversion"/>
  </si>
  <si>
    <t xml:space="preserve">目标位置 </t>
    <phoneticPr fontId="10" type="noConversion"/>
  </si>
  <si>
    <t>目标速度</t>
    <phoneticPr fontId="10" type="noConversion"/>
  </si>
  <si>
    <t>12bit</t>
    <phoneticPr fontId="10" type="noConversion"/>
  </si>
  <si>
    <t>Bit[4:1]</t>
    <phoneticPr fontId="10" type="noConversion"/>
  </si>
  <si>
    <t>Bit[7:4]</t>
    <phoneticPr fontId="10" type="noConversion"/>
  </si>
  <si>
    <t>Bit[3:0]</t>
    <phoneticPr fontId="10" type="noConversion"/>
  </si>
  <si>
    <t>位置增益
Kp 值</t>
    <phoneticPr fontId="10" type="noConversion"/>
  </si>
  <si>
    <t>12bit</t>
    <phoneticPr fontId="10" type="noConversion"/>
  </si>
  <si>
    <t>[4]</t>
    <phoneticPr fontId="10" type="noConversion"/>
  </si>
  <si>
    <t>[5]</t>
    <phoneticPr fontId="10" type="noConversion"/>
  </si>
  <si>
    <t>[6]</t>
    <phoneticPr fontId="10" type="noConversion"/>
  </si>
  <si>
    <t>[7]</t>
    <phoneticPr fontId="10" type="noConversion"/>
  </si>
  <si>
    <t>速度增益
Kd 值</t>
    <phoneticPr fontId="10" type="noConversion"/>
  </si>
  <si>
    <t>目标力矩</t>
    <phoneticPr fontId="10" type="noConversion"/>
  </si>
  <si>
    <t>Byte[5]为高8位，Byte[6]-Bit[7:4]为低4位[0~4095]对应[0~5];</t>
    <phoneticPr fontId="10" type="noConversion"/>
  </si>
  <si>
    <t>Byte[6]-Bit[3:0]为高4位，Byte[7]为低8位[0~4095]对应(-T_Max~T_Max);</t>
    <phoneticPr fontId="10" type="noConversion"/>
  </si>
  <si>
    <t>[0]~[8]</t>
    <phoneticPr fontId="10" type="noConversion"/>
  </si>
  <si>
    <t>[9]~[18]</t>
    <phoneticPr fontId="10" type="noConversion"/>
  </si>
  <si>
    <t>[19]~[27]</t>
    <phoneticPr fontId="10" type="noConversion"/>
  </si>
  <si>
    <t>[28]~[36]</t>
    <phoneticPr fontId="10" type="noConversion"/>
  </si>
  <si>
    <t>[37]~[45]</t>
    <phoneticPr fontId="10" type="noConversion"/>
  </si>
  <si>
    <t>[46]~[54]</t>
    <phoneticPr fontId="10" type="noConversion"/>
  </si>
  <si>
    <t>0x210</t>
    <phoneticPr fontId="10" type="noConversion"/>
  </si>
  <si>
    <t>Byte[0]为高8位，Byte[1]为低8位;
[0-65535]对应(-Pos Max~ Pos Max);</t>
    <phoneticPr fontId="10" type="noConversion"/>
  </si>
  <si>
    <t>Byte[2]为高8位，Byte[3]-Bit[7:4]为低4位;
[0~4095]对应(-Vel Max~Vel Max);</t>
    <phoneticPr fontId="10" type="noConversion"/>
  </si>
  <si>
    <t>Byte[3]-Bit[3:0]为高4位，Byte[4]为低8位;
[0~4095]对应[0~500];</t>
    <phoneticPr fontId="10" type="noConversion"/>
  </si>
  <si>
    <t>功能用于单独MIT模式控制指定电机</t>
    <phoneticPr fontId="10" type="noConversion"/>
  </si>
  <si>
    <t>功能用于广播指令同时MIT模式控制最多6个电机</t>
    <phoneticPr fontId="10" type="noConversion"/>
  </si>
  <si>
    <t>与MIT模式单轴控制报文协议保持一直</t>
    <phoneticPr fontId="10" type="noConversion"/>
  </si>
  <si>
    <t>说明：1-5M，2-4M，3-2M，4-1M;</t>
    <phoneticPr fontId="10" type="noConversion"/>
  </si>
  <si>
    <t>1、电机使能，抱闸释放，轮廓位置模式，轮廓速度5RPM，加减速2000RPM/S，运行到0度位置</t>
    <phoneticPr fontId="10" type="noConversion"/>
  </si>
  <si>
    <t>0x0000</t>
    <phoneticPr fontId="10" type="noConversion"/>
  </si>
  <si>
    <t>电机使能</t>
    <phoneticPr fontId="10" type="noConversion"/>
  </si>
  <si>
    <t>抱闸释放</t>
    <phoneticPr fontId="10" type="noConversion"/>
  </si>
  <si>
    <t>默认</t>
    <phoneticPr fontId="10" type="noConversion"/>
  </si>
  <si>
    <t>轮廓位置模式</t>
    <phoneticPr fontId="10" type="noConversion"/>
  </si>
  <si>
    <t>轮廓加减速2000RMP/S</t>
    <phoneticPr fontId="10" type="noConversion"/>
  </si>
  <si>
    <t>0x07D0</t>
    <phoneticPr fontId="10" type="noConversion"/>
  </si>
  <si>
    <t>输出端速度5RPM</t>
    <phoneticPr fontId="10" type="noConversion"/>
  </si>
  <si>
    <t>0x0005</t>
    <phoneticPr fontId="10" type="noConversion"/>
  </si>
  <si>
    <t>单轴控制报文举例（以ID为1的电机举例）</t>
    <phoneticPr fontId="10" type="noConversion"/>
  </si>
  <si>
    <t>0x107</t>
    <phoneticPr fontId="10" type="noConversion"/>
  </si>
  <si>
    <t>位置90度（16384cnt）</t>
    <phoneticPr fontId="10" type="noConversion"/>
  </si>
  <si>
    <t>位置0度（0cnt）</t>
    <phoneticPr fontId="10" type="noConversion"/>
  </si>
  <si>
    <t>轮廓加减速1000RMP/S</t>
    <phoneticPr fontId="10" type="noConversion"/>
  </si>
  <si>
    <t>0x4000</t>
    <phoneticPr fontId="10" type="noConversion"/>
  </si>
  <si>
    <t>0x03E8</t>
    <phoneticPr fontId="10" type="noConversion"/>
  </si>
  <si>
    <t>0x0008</t>
    <phoneticPr fontId="10" type="noConversion"/>
  </si>
  <si>
    <t>输出端速度8RPM</t>
    <phoneticPr fontId="10" type="noConversion"/>
  </si>
  <si>
    <t>2、电机使能，抱闸释放，轮廓位置模式，轮廓速度8RPM，加减速1000RPM/S，运行到90度位置</t>
    <phoneticPr fontId="10" type="noConversion"/>
  </si>
  <si>
    <t>3、电机使能，抱闸释放，轮廓位置模式，轮廓速度8RPM，加减速1000RPM/S，运行到-90度位置</t>
    <phoneticPr fontId="10" type="noConversion"/>
  </si>
  <si>
    <t>位置90度（-16384cnt）</t>
    <phoneticPr fontId="10" type="noConversion"/>
  </si>
  <si>
    <t>0xC000</t>
    <phoneticPr fontId="10" type="noConversion"/>
  </si>
  <si>
    <t>轮廓速度模式</t>
    <phoneticPr fontId="10" type="noConversion"/>
  </si>
  <si>
    <t>0x01F4</t>
    <phoneticPr fontId="10" type="noConversion"/>
  </si>
  <si>
    <t>任意值</t>
    <phoneticPr fontId="10" type="noConversion"/>
  </si>
  <si>
    <t>轮廓速度500RPM</t>
    <phoneticPr fontId="10" type="noConversion"/>
  </si>
  <si>
    <t>4、电机使能，抱闸释放，轮廓速度模式，轮廓速度500RPM，加减速1000RPM/S</t>
    <phoneticPr fontId="10" type="noConversion"/>
  </si>
  <si>
    <t>电流环模式</t>
    <phoneticPr fontId="10" type="noConversion"/>
  </si>
  <si>
    <t>目标电流1000mA</t>
    <phoneticPr fontId="10" type="noConversion"/>
  </si>
  <si>
    <t>5、电机使能，抱闸释放，电流环模式，目标电流1000mA</t>
    <phoneticPr fontId="10" type="noConversion"/>
  </si>
  <si>
    <t>144bit</t>
    <phoneticPr fontId="10" type="noConversion"/>
  </si>
  <si>
    <t>1 1 0 0 0 1 1 0</t>
    <phoneticPr fontId="10" type="noConversion"/>
  </si>
  <si>
    <t>01</t>
    <phoneticPr fontId="10" type="noConversion"/>
  </si>
  <si>
    <t>01 F4</t>
    <phoneticPr fontId="10" type="noConversion"/>
  </si>
  <si>
    <t>500CNT</t>
    <phoneticPr fontId="10" type="noConversion"/>
  </si>
  <si>
    <t>00 00</t>
    <phoneticPr fontId="10" type="noConversion"/>
  </si>
  <si>
    <t>02</t>
    <phoneticPr fontId="10" type="noConversion"/>
  </si>
  <si>
    <t>03</t>
    <phoneticPr fontId="10" type="noConversion"/>
  </si>
  <si>
    <t>04</t>
    <phoneticPr fontId="10" type="noConversion"/>
  </si>
  <si>
    <t>05</t>
    <phoneticPr fontId="10" type="noConversion"/>
  </si>
  <si>
    <t>06</t>
    <phoneticPr fontId="10" type="noConversion"/>
  </si>
  <si>
    <t>07</t>
    <phoneticPr fontId="10" type="noConversion"/>
  </si>
  <si>
    <t>PP模式 转动到0cnt 加减速2000 速度5PP模式 转动到0cnt 加减速2000 速度5</t>
    <phoneticPr fontId="10" type="noConversion"/>
  </si>
  <si>
    <t>C2 00 00 07 D0 00 05</t>
    <phoneticPr fontId="10" type="noConversion"/>
  </si>
  <si>
    <t>PP模式 转动到16384cnt加减速1000 速度8</t>
    <phoneticPr fontId="10" type="noConversion"/>
  </si>
  <si>
    <t>C2 40 00 03 E8 00 08</t>
  </si>
  <si>
    <t>C2 C0 00 03 E8 00 08</t>
    <phoneticPr fontId="10" type="noConversion"/>
  </si>
  <si>
    <t>PP模式 转动到-16384cnt 加减速1000 速度8</t>
    <phoneticPr fontId="10" type="noConversion"/>
  </si>
  <si>
    <t>速度模式 速度500 加减速1000</t>
  </si>
  <si>
    <t>速度模式 速度-500 加减速1000</t>
  </si>
  <si>
    <t>C4 fe 0c 03 E8 00 00</t>
  </si>
  <si>
    <t>CA 03 E8 00 00 00 00</t>
  </si>
  <si>
    <t>电流模式 电流1000</t>
  </si>
  <si>
    <t>电流模式 电流-1000</t>
  </si>
  <si>
    <t>CA FC 18 00 00 00 00</t>
  </si>
  <si>
    <t>C4 01 F4 03 E8 00 00</t>
    <phoneticPr fontId="10" type="noConversion"/>
  </si>
  <si>
    <t>2B 40 60 00 80 00 00 00</t>
  </si>
  <si>
    <t>40 62 26 00 00 00 00 00</t>
    <phoneticPr fontId="10" type="noConversion"/>
  </si>
  <si>
    <t>清除错误信息</t>
    <phoneticPr fontId="10" type="noConversion"/>
  </si>
  <si>
    <t>读取MOS温度传感器</t>
    <phoneticPr fontId="10" type="noConversion"/>
  </si>
  <si>
    <t>40 63 26 00 00 00 00 00</t>
    <phoneticPr fontId="10" type="noConversion"/>
  </si>
  <si>
    <t>读取电机温度传感器</t>
    <phoneticPr fontId="10" type="noConversion"/>
  </si>
  <si>
    <t>3.14弧度</t>
    <phoneticPr fontId="10" type="noConversion"/>
  </si>
  <si>
    <t>MAX值分别对应多少</t>
    <phoneticPr fontId="10" type="noConversion"/>
  </si>
  <si>
    <t>速度呢</t>
  </si>
  <si>
    <t>也是3.14弧度每秒</t>
    <phoneticPr fontId="10" type="noConversion"/>
  </si>
  <si>
    <t>0.001Nm/40 77 60 00 00 00 00 00/反馈4B 7760 00 DB FF 00 00</t>
    <phoneticPr fontId="10" type="noConversion"/>
  </si>
  <si>
    <t>0x6061</t>
    <phoneticPr fontId="10" type="noConversion"/>
  </si>
  <si>
    <t>`C4</t>
  </si>
  <si>
    <t>C4 00 00 00 00 00 00 C4 00 00 00 00 00 00 C4 00 00 00 00 00 00 C4 00 00 00 00 00 00 C4 00 00 00 00 00 00 C4 00 00 00 00 00 00 C4 00 00 00 00 00 00 01 02 03 04 05 06 07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</si>
</sst>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4"/>
      <name val="Microsoft Sans Serif"/>
      <family val="2"/>
    </font>
    <font>
      <sz val="14"/>
      <name val="宋体"/>
      <family val="3"/>
      <charset val="134"/>
    </font>
    <font>
      <sz val="12"/>
      <color theme="1"/>
      <name val="Microsoft Sans Serif"/>
      <family val="2"/>
    </font>
    <font>
      <sz val="12"/>
      <color theme="1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sz val="10"/>
      <name val="Arial"/>
      <family val="2"/>
    </font>
    <font>
      <sz val="12"/>
      <color rgb="FFFF0000"/>
      <name val="Microsoft Sans Serif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</font>
    <font>
      <sz val="12"/>
      <color theme="1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sz val="14"/>
      <name val="宋体"/>
      <family val="3"/>
      <charset val="134"/>
    </font>
    <font>
      <sz val="14"/>
      <name val="宋体"/>
      <family val="2"/>
      <charset val="134"/>
    </font>
    <font>
      <b/>
      <sz val="18"/>
      <color theme="1"/>
      <name val="等线"/>
      <family val="3"/>
      <charset val="134"/>
    </font>
    <font>
      <sz val="12"/>
      <color theme="1"/>
      <name val="等线"/>
      <family val="3"/>
      <charset val="134"/>
    </font>
    <font>
      <sz val="12"/>
      <color theme="1"/>
      <name val="Arial"/>
      <family val="2"/>
    </font>
    <font>
      <b/>
      <sz val="14"/>
      <color theme="1"/>
      <name val="等线"/>
      <family val="3"/>
      <charset val="134"/>
    </font>
    <font>
      <sz val="12"/>
      <color theme="1"/>
      <name val="宋体"/>
      <family val="3"/>
      <charset val="134"/>
      <scheme val="minor"/>
    </font>
    <font>
      <sz val="14"/>
      <color theme="1"/>
      <name val="等线"/>
      <family val="3"/>
      <charset val="134"/>
    </font>
    <font>
      <b/>
      <sz val="14"/>
      <color theme="1"/>
      <name val="Arial"/>
      <family val="2"/>
    </font>
    <font>
      <b/>
      <sz val="9"/>
      <color indexed="81"/>
      <name val="宋体"/>
      <family val="3"/>
      <charset val="134"/>
    </font>
    <font>
      <b/>
      <sz val="9"/>
      <color theme="1"/>
      <name val="等线"/>
      <family val="3"/>
      <charset val="134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/>
  </cellStyleXfs>
  <cellXfs count="131">
    <xf numFmtId="0" fontId="0" fillId="0" borderId="0" xfId="0">
      <alignment vertical="center"/>
    </xf>
    <xf numFmtId="0" fontId="1" fillId="0" borderId="0" xfId="0" applyFont="1" applyAlignment="1"/>
    <xf numFmtId="0" fontId="4" fillId="2" borderId="4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left" vertical="center" wrapText="1"/>
    </xf>
    <xf numFmtId="49" fontId="5" fillId="2" borderId="4" xfId="1" applyNumberFormat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5" fillId="2" borderId="3" xfId="1" applyNumberFormat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7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49" fontId="7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3" fillId="2" borderId="4" xfId="1" applyFont="1" applyFill="1" applyBorder="1" applyAlignment="1">
      <alignment horizontal="center" vertical="center" wrapText="1"/>
    </xf>
    <xf numFmtId="0" fontId="14" fillId="2" borderId="1" xfId="1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11" fillId="0" borderId="4" xfId="0" applyFont="1" applyBorder="1" applyAlignment="1">
      <alignment horizontal="center" vertical="center"/>
    </xf>
    <xf numFmtId="0" fontId="11" fillId="2" borderId="4" xfId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4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8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7" fillId="0" borderId="4" xfId="0" applyFont="1" applyBorder="1">
      <alignment vertical="center"/>
    </xf>
    <xf numFmtId="0" fontId="22" fillId="0" borderId="4" xfId="0" applyFont="1" applyBorder="1">
      <alignment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0" xfId="0" applyFont="1">
      <alignment vertical="center"/>
    </xf>
    <xf numFmtId="0" fontId="24" fillId="0" borderId="0" xfId="0" applyFont="1">
      <alignment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23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12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28" fillId="0" borderId="0" xfId="0" applyFont="1">
      <alignment vertical="center"/>
    </xf>
    <xf numFmtId="0" fontId="27" fillId="0" borderId="4" xfId="0" applyFont="1" applyBorder="1" applyAlignment="1">
      <alignment horizontal="center" vertical="center"/>
    </xf>
    <xf numFmtId="0" fontId="27" fillId="0" borderId="4" xfId="0" applyFont="1" applyBorder="1">
      <alignment vertical="center"/>
    </xf>
    <xf numFmtId="0" fontId="28" fillId="0" borderId="4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/>
    </xf>
    <xf numFmtId="0" fontId="28" fillId="0" borderId="4" xfId="0" applyFont="1" applyBorder="1">
      <alignment vertical="center"/>
    </xf>
    <xf numFmtId="0" fontId="12" fillId="3" borderId="0" xfId="0" applyFont="1" applyFill="1" applyAlignment="1">
      <alignment horizontal="center" vertical="center"/>
    </xf>
    <xf numFmtId="0" fontId="1" fillId="3" borderId="0" xfId="0" applyFont="1" applyFill="1">
      <alignment vertical="center"/>
    </xf>
    <xf numFmtId="0" fontId="0" fillId="3" borderId="0" xfId="0" applyFill="1">
      <alignment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22" fillId="0" borderId="5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 wrapText="1"/>
    </xf>
    <xf numFmtId="0" fontId="22" fillId="0" borderId="7" xfId="0" applyFont="1" applyBorder="1" applyAlignment="1">
      <alignment horizontal="left" vertical="center" wrapText="1"/>
    </xf>
    <xf numFmtId="0" fontId="22" fillId="0" borderId="4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9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6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16" fillId="2" borderId="1" xfId="1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3" xfId="0" applyFont="1" applyBorder="1" applyAlignment="1">
      <alignment horizontal="left" vertical="center"/>
    </xf>
    <xf numFmtId="0" fontId="27" fillId="0" borderId="4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25066</xdr:colOff>
      <xdr:row>0</xdr:row>
      <xdr:rowOff>8356</xdr:rowOff>
    </xdr:from>
    <xdr:to>
      <xdr:col>14</xdr:col>
      <xdr:colOff>586199</xdr:colOff>
      <xdr:row>24</xdr:row>
      <xdr:rowOff>3701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977800E-CD5B-4CF9-AC08-6AB00F86D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22040" y="8356"/>
          <a:ext cx="6727317" cy="5217384"/>
        </a:xfrm>
        <a:prstGeom prst="rect">
          <a:avLst/>
        </a:prstGeom>
      </xdr:spPr>
    </xdr:pic>
    <xdr:clientData/>
  </xdr:twoCellAnchor>
  <xdr:twoCellAnchor editAs="oneCell">
    <xdr:from>
      <xdr:col>0</xdr:col>
      <xdr:colOff>617200</xdr:colOff>
      <xdr:row>14</xdr:row>
      <xdr:rowOff>130414</xdr:rowOff>
    </xdr:from>
    <xdr:to>
      <xdr:col>5</xdr:col>
      <xdr:colOff>614747</xdr:colOff>
      <xdr:row>28</xdr:row>
      <xdr:rowOff>3304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78561E6-C5FF-19B0-4877-91A64B1F3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200" y="3629816"/>
          <a:ext cx="4753145" cy="23852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259014</xdr:colOff>
      <xdr:row>53</xdr:row>
      <xdr:rowOff>284079</xdr:rowOff>
    </xdr:from>
    <xdr:to>
      <xdr:col>12</xdr:col>
      <xdr:colOff>846314</xdr:colOff>
      <xdr:row>63</xdr:row>
      <xdr:rowOff>369142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E58C8CB-E9F8-15C6-60D0-752466DE8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5922" y="19877171"/>
          <a:ext cx="9961905" cy="3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workbookViewId="0">
      <selection activeCell="D16" sqref="D16"/>
    </sheetView>
  </sheetViews>
  <sheetFormatPr defaultColWidth="9" defaultRowHeight="14" x14ac:dyDescent="0.25"/>
  <cols>
    <col min="1" max="1" width="6.08984375" style="17" customWidth="1"/>
    <col min="2" max="2" width="35.453125" style="18" customWidth="1"/>
    <col min="3" max="3" width="23.08984375" style="18" customWidth="1"/>
    <col min="4" max="6" width="9" style="18"/>
    <col min="7" max="7" width="11.7265625" style="18" customWidth="1"/>
    <col min="8" max="8" width="18.36328125" style="18" customWidth="1"/>
    <col min="9" max="9" width="14.26953125" style="18" customWidth="1"/>
    <col min="10" max="10" width="11.7265625" style="18"/>
    <col min="11" max="11" width="14.453125" style="18" customWidth="1"/>
    <col min="12" max="12" width="36.7265625" style="21" customWidth="1"/>
    <col min="13" max="16384" width="9" style="18"/>
  </cols>
  <sheetData>
    <row r="1" spans="1:12" s="16" customFormat="1" ht="15" x14ac:dyDescent="0.25">
      <c r="A1" s="19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22" t="s">
        <v>11</v>
      </c>
    </row>
    <row r="2" spans="1:12" x14ac:dyDescent="0.25">
      <c r="A2" s="17" t="s">
        <v>12</v>
      </c>
      <c r="B2" s="18" t="s">
        <v>13</v>
      </c>
      <c r="C2" s="18" t="s">
        <v>14</v>
      </c>
      <c r="D2" s="18" t="s">
        <v>15</v>
      </c>
      <c r="E2" s="18" t="s">
        <v>16</v>
      </c>
      <c r="F2" s="18" t="s">
        <v>17</v>
      </c>
      <c r="G2" s="18" t="s">
        <v>18</v>
      </c>
      <c r="H2" s="18" t="s">
        <v>19</v>
      </c>
      <c r="I2" s="18" t="s">
        <v>19</v>
      </c>
      <c r="J2" s="18" t="s">
        <v>20</v>
      </c>
      <c r="K2" s="18" t="s">
        <v>21</v>
      </c>
      <c r="L2" s="21" t="s">
        <v>22</v>
      </c>
    </row>
    <row r="3" spans="1:12" x14ac:dyDescent="0.25">
      <c r="A3" s="17" t="s">
        <v>19</v>
      </c>
      <c r="B3" s="18" t="s">
        <v>23</v>
      </c>
      <c r="C3" s="20" t="s">
        <v>273</v>
      </c>
      <c r="D3" s="18" t="s">
        <v>24</v>
      </c>
      <c r="E3" s="18" t="s">
        <v>16</v>
      </c>
      <c r="F3" s="18" t="s">
        <v>17</v>
      </c>
      <c r="G3" s="18" t="s">
        <v>18</v>
      </c>
      <c r="H3" s="18" t="s">
        <v>19</v>
      </c>
      <c r="I3" s="18" t="s">
        <v>19</v>
      </c>
      <c r="J3" s="20" t="s">
        <v>274</v>
      </c>
      <c r="K3" s="18" t="s">
        <v>21</v>
      </c>
      <c r="L3" s="53" t="s">
        <v>446</v>
      </c>
    </row>
    <row r="4" spans="1:12" ht="28" x14ac:dyDescent="0.25">
      <c r="A4" s="17" t="s">
        <v>26</v>
      </c>
      <c r="B4" s="18" t="s">
        <v>27</v>
      </c>
      <c r="C4" s="18" t="s">
        <v>28</v>
      </c>
      <c r="D4" s="18" t="s">
        <v>29</v>
      </c>
      <c r="E4" s="18" t="s">
        <v>16</v>
      </c>
      <c r="F4" s="18" t="s">
        <v>17</v>
      </c>
      <c r="G4" s="18" t="s">
        <v>18</v>
      </c>
      <c r="H4" s="18" t="s">
        <v>12</v>
      </c>
      <c r="I4" s="18" t="s">
        <v>12</v>
      </c>
      <c r="J4" s="18" t="s">
        <v>26</v>
      </c>
      <c r="K4" s="18" t="s">
        <v>21</v>
      </c>
      <c r="L4" s="21" t="s">
        <v>30</v>
      </c>
    </row>
    <row r="5" spans="1:12" x14ac:dyDescent="0.25">
      <c r="A5" s="17" t="s">
        <v>31</v>
      </c>
      <c r="B5" s="18" t="s">
        <v>32</v>
      </c>
      <c r="C5" s="18" t="s">
        <v>33</v>
      </c>
      <c r="D5" s="18" t="s">
        <v>34</v>
      </c>
      <c r="E5" s="18" t="s">
        <v>16</v>
      </c>
      <c r="F5" s="18" t="s">
        <v>17</v>
      </c>
      <c r="G5" s="18" t="s">
        <v>18</v>
      </c>
      <c r="H5" s="18" t="s">
        <v>21</v>
      </c>
      <c r="I5" s="18" t="s">
        <v>12</v>
      </c>
      <c r="J5" s="18" t="s">
        <v>35</v>
      </c>
      <c r="K5" s="18" t="s">
        <v>21</v>
      </c>
    </row>
    <row r="6" spans="1:12" x14ac:dyDescent="0.25">
      <c r="A6" s="17" t="s">
        <v>25</v>
      </c>
      <c r="B6" s="18" t="s">
        <v>36</v>
      </c>
      <c r="C6" s="18" t="s">
        <v>37</v>
      </c>
      <c r="D6" s="18" t="s">
        <v>38</v>
      </c>
      <c r="E6" s="18" t="s">
        <v>16</v>
      </c>
      <c r="F6" s="18" t="s">
        <v>17</v>
      </c>
      <c r="G6" s="18" t="s">
        <v>18</v>
      </c>
      <c r="H6" s="18" t="s">
        <v>21</v>
      </c>
      <c r="I6" s="18" t="s">
        <v>12</v>
      </c>
      <c r="J6" s="18" t="s">
        <v>35</v>
      </c>
      <c r="K6" s="18" t="s">
        <v>21</v>
      </c>
    </row>
    <row r="7" spans="1:12" x14ac:dyDescent="0.25">
      <c r="A7" s="17" t="s">
        <v>39</v>
      </c>
      <c r="B7" s="18" t="s">
        <v>40</v>
      </c>
      <c r="C7" s="18" t="s">
        <v>41</v>
      </c>
      <c r="D7" s="18" t="s">
        <v>42</v>
      </c>
      <c r="E7" s="18" t="s">
        <v>16</v>
      </c>
      <c r="F7" s="18" t="s">
        <v>17</v>
      </c>
      <c r="G7" s="18" t="s">
        <v>18</v>
      </c>
      <c r="H7" s="18" t="s">
        <v>21</v>
      </c>
      <c r="I7" s="18" t="s">
        <v>12</v>
      </c>
      <c r="J7" s="18" t="s">
        <v>35</v>
      </c>
      <c r="K7" s="18" t="s">
        <v>21</v>
      </c>
    </row>
    <row r="8" spans="1:12" x14ac:dyDescent="0.25">
      <c r="A8" s="17" t="s">
        <v>43</v>
      </c>
      <c r="B8" s="18" t="s">
        <v>44</v>
      </c>
      <c r="C8" s="18" t="s">
        <v>45</v>
      </c>
      <c r="D8" s="18" t="s">
        <v>46</v>
      </c>
      <c r="E8" s="18" t="s">
        <v>16</v>
      </c>
      <c r="F8" s="18" t="s">
        <v>17</v>
      </c>
      <c r="G8" s="18" t="s">
        <v>18</v>
      </c>
      <c r="H8" s="18" t="s">
        <v>21</v>
      </c>
      <c r="I8" s="18" t="s">
        <v>12</v>
      </c>
      <c r="J8" s="18" t="s">
        <v>35</v>
      </c>
      <c r="K8" s="18" t="s">
        <v>21</v>
      </c>
    </row>
    <row r="9" spans="1:12" x14ac:dyDescent="0.25">
      <c r="A9" s="17" t="s">
        <v>47</v>
      </c>
      <c r="B9" s="18" t="s">
        <v>48</v>
      </c>
      <c r="C9" s="18" t="s">
        <v>49</v>
      </c>
      <c r="D9" s="18" t="s">
        <v>50</v>
      </c>
      <c r="E9" s="18" t="s">
        <v>16</v>
      </c>
      <c r="F9" s="18" t="s">
        <v>17</v>
      </c>
      <c r="G9" s="18" t="s">
        <v>18</v>
      </c>
      <c r="H9" s="18" t="s">
        <v>21</v>
      </c>
      <c r="I9" s="18" t="s">
        <v>12</v>
      </c>
      <c r="J9" s="18" t="s">
        <v>35</v>
      </c>
      <c r="K9" s="18" t="s">
        <v>21</v>
      </c>
    </row>
    <row r="10" spans="1:12" x14ac:dyDescent="0.25">
      <c r="A10" s="17" t="s">
        <v>51</v>
      </c>
      <c r="B10" s="18" t="s">
        <v>52</v>
      </c>
      <c r="C10" s="18" t="s">
        <v>53</v>
      </c>
      <c r="D10" s="18" t="s">
        <v>54</v>
      </c>
      <c r="E10" s="18" t="s">
        <v>16</v>
      </c>
      <c r="F10" s="18" t="s">
        <v>17</v>
      </c>
      <c r="G10" s="18" t="s">
        <v>18</v>
      </c>
      <c r="H10" s="18" t="s">
        <v>21</v>
      </c>
      <c r="I10" s="18" t="s">
        <v>12</v>
      </c>
      <c r="J10" s="18" t="s">
        <v>35</v>
      </c>
      <c r="K10" s="18" t="s">
        <v>21</v>
      </c>
    </row>
    <row r="11" spans="1:12" x14ac:dyDescent="0.25">
      <c r="A11" s="17" t="s">
        <v>55</v>
      </c>
      <c r="B11" s="18" t="s">
        <v>56</v>
      </c>
      <c r="C11" s="18" t="s">
        <v>57</v>
      </c>
      <c r="D11" s="18" t="s">
        <v>58</v>
      </c>
      <c r="E11" s="18" t="s">
        <v>16</v>
      </c>
      <c r="F11" s="18" t="s">
        <v>17</v>
      </c>
      <c r="G11" s="18" t="s">
        <v>18</v>
      </c>
      <c r="H11" s="18" t="s">
        <v>21</v>
      </c>
      <c r="I11" s="18" t="s">
        <v>12</v>
      </c>
      <c r="J11" s="18" t="s">
        <v>35</v>
      </c>
      <c r="K11" s="18" t="s">
        <v>59</v>
      </c>
    </row>
    <row r="12" spans="1:12" ht="28" x14ac:dyDescent="0.25">
      <c r="A12" s="17" t="s">
        <v>60</v>
      </c>
      <c r="B12" s="18" t="s">
        <v>61</v>
      </c>
      <c r="C12" s="18" t="s">
        <v>62</v>
      </c>
      <c r="D12" s="18" t="s">
        <v>63</v>
      </c>
      <c r="E12" s="18" t="s">
        <v>16</v>
      </c>
      <c r="F12" s="18" t="s">
        <v>17</v>
      </c>
      <c r="G12" s="18" t="s">
        <v>18</v>
      </c>
      <c r="H12" s="18" t="s">
        <v>12</v>
      </c>
      <c r="I12" s="18" t="s">
        <v>12</v>
      </c>
      <c r="J12" s="18">
        <v>4294967295</v>
      </c>
      <c r="K12" s="18" t="s">
        <v>21</v>
      </c>
      <c r="L12" s="21" t="s">
        <v>64</v>
      </c>
    </row>
    <row r="13" spans="1:12" x14ac:dyDescent="0.25">
      <c r="A13" s="17" t="s">
        <v>65</v>
      </c>
      <c r="B13" s="18" t="s">
        <v>66</v>
      </c>
      <c r="C13" s="18" t="s">
        <v>67</v>
      </c>
      <c r="D13" s="18" t="s">
        <v>68</v>
      </c>
      <c r="E13" s="18" t="s">
        <v>16</v>
      </c>
      <c r="F13" s="18" t="s">
        <v>69</v>
      </c>
      <c r="G13" s="18" t="s">
        <v>18</v>
      </c>
      <c r="H13" s="18" t="s">
        <v>21</v>
      </c>
      <c r="I13" s="18" t="s">
        <v>70</v>
      </c>
      <c r="J13" s="18" t="s">
        <v>71</v>
      </c>
      <c r="K13" s="18" t="s">
        <v>72</v>
      </c>
    </row>
    <row r="14" spans="1:12" x14ac:dyDescent="0.25">
      <c r="A14" s="17" t="s">
        <v>73</v>
      </c>
      <c r="B14" s="18" t="s">
        <v>74</v>
      </c>
      <c r="C14" s="18" t="s">
        <v>75</v>
      </c>
      <c r="D14" s="18" t="s">
        <v>76</v>
      </c>
      <c r="E14" s="18" t="s">
        <v>16</v>
      </c>
      <c r="F14" s="18" t="s">
        <v>69</v>
      </c>
      <c r="G14" s="18" t="s">
        <v>18</v>
      </c>
      <c r="H14" s="18" t="s">
        <v>21</v>
      </c>
      <c r="I14" s="18" t="s">
        <v>70</v>
      </c>
      <c r="J14" s="18" t="s">
        <v>71</v>
      </c>
      <c r="K14" s="18" t="s">
        <v>72</v>
      </c>
    </row>
    <row r="15" spans="1:12" ht="70" x14ac:dyDescent="0.25">
      <c r="A15" s="17" t="s">
        <v>77</v>
      </c>
      <c r="B15" s="18" t="s">
        <v>78</v>
      </c>
      <c r="C15" s="18" t="s">
        <v>79</v>
      </c>
      <c r="D15" s="18" t="s">
        <v>80</v>
      </c>
      <c r="E15" s="18" t="s">
        <v>16</v>
      </c>
      <c r="F15" s="18" t="s">
        <v>69</v>
      </c>
      <c r="G15" s="18" t="s">
        <v>81</v>
      </c>
      <c r="H15" s="18">
        <v>0</v>
      </c>
      <c r="I15" s="18">
        <v>0</v>
      </c>
      <c r="J15" s="18">
        <v>65535</v>
      </c>
      <c r="K15" s="18" t="s">
        <v>21</v>
      </c>
      <c r="L15" s="21" t="s">
        <v>82</v>
      </c>
    </row>
    <row r="16" spans="1:12" x14ac:dyDescent="0.25">
      <c r="A16" s="17" t="s">
        <v>83</v>
      </c>
      <c r="B16" s="18" t="s">
        <v>84</v>
      </c>
      <c r="C16" s="18" t="s">
        <v>85</v>
      </c>
      <c r="D16" s="18" t="s">
        <v>86</v>
      </c>
      <c r="E16" s="18" t="s">
        <v>16</v>
      </c>
      <c r="F16" s="18" t="s">
        <v>17</v>
      </c>
      <c r="G16" s="18" t="s">
        <v>81</v>
      </c>
      <c r="H16" s="18">
        <v>0</v>
      </c>
      <c r="I16" s="18">
        <v>0</v>
      </c>
      <c r="J16" s="18">
        <v>65535</v>
      </c>
      <c r="K16" s="18" t="s">
        <v>21</v>
      </c>
    </row>
    <row r="17" spans="1:12" x14ac:dyDescent="0.25">
      <c r="A17" s="17" t="s">
        <v>87</v>
      </c>
      <c r="B17" s="18" t="s">
        <v>88</v>
      </c>
      <c r="C17" s="18" t="s">
        <v>89</v>
      </c>
      <c r="D17" s="18" t="s">
        <v>90</v>
      </c>
      <c r="E17" s="18" t="s">
        <v>16</v>
      </c>
      <c r="F17" s="18" t="s">
        <v>69</v>
      </c>
      <c r="G17" s="18" t="s">
        <v>81</v>
      </c>
      <c r="H17" s="18">
        <v>0</v>
      </c>
      <c r="I17" s="18">
        <v>0</v>
      </c>
      <c r="J17" s="18">
        <v>65535</v>
      </c>
    </row>
    <row r="18" spans="1:12" x14ac:dyDescent="0.25">
      <c r="A18" s="17" t="s">
        <v>91</v>
      </c>
      <c r="B18" s="18" t="s">
        <v>92</v>
      </c>
      <c r="C18" s="18" t="s">
        <v>93</v>
      </c>
      <c r="D18" s="18" t="s">
        <v>94</v>
      </c>
      <c r="E18" s="18" t="s">
        <v>16</v>
      </c>
      <c r="F18" s="18" t="s">
        <v>17</v>
      </c>
      <c r="G18" s="18" t="s">
        <v>95</v>
      </c>
      <c r="H18" s="18">
        <v>0</v>
      </c>
      <c r="I18" s="18">
        <v>-32768</v>
      </c>
      <c r="J18" s="18">
        <v>32767</v>
      </c>
      <c r="K18" s="18" t="s">
        <v>59</v>
      </c>
    </row>
    <row r="19" spans="1:12" x14ac:dyDescent="0.25">
      <c r="A19" s="17" t="s">
        <v>96</v>
      </c>
      <c r="B19" s="18" t="s">
        <v>97</v>
      </c>
      <c r="C19" s="18" t="s">
        <v>98</v>
      </c>
      <c r="D19" s="18" t="s">
        <v>99</v>
      </c>
      <c r="E19" s="18" t="s">
        <v>16</v>
      </c>
      <c r="F19" s="18" t="s">
        <v>69</v>
      </c>
      <c r="G19" s="18" t="s">
        <v>95</v>
      </c>
      <c r="H19" s="18">
        <v>0</v>
      </c>
      <c r="I19" s="18">
        <v>-32768</v>
      </c>
      <c r="J19" s="18">
        <v>32767</v>
      </c>
      <c r="K19" s="18" t="s">
        <v>59</v>
      </c>
    </row>
    <row r="20" spans="1:12" x14ac:dyDescent="0.25">
      <c r="A20" s="17" t="s">
        <v>100</v>
      </c>
      <c r="B20" s="18" t="s">
        <v>101</v>
      </c>
      <c r="C20" s="18" t="s">
        <v>102</v>
      </c>
      <c r="D20" s="18" t="s">
        <v>103</v>
      </c>
      <c r="E20" s="18" t="s">
        <v>16</v>
      </c>
      <c r="F20" s="18" t="s">
        <v>69</v>
      </c>
      <c r="G20" s="18" t="s">
        <v>104</v>
      </c>
      <c r="H20" s="18">
        <v>0</v>
      </c>
      <c r="I20" s="18">
        <v>0</v>
      </c>
      <c r="J20" s="18">
        <v>4294967295</v>
      </c>
      <c r="K20" s="18" t="s">
        <v>105</v>
      </c>
    </row>
    <row r="21" spans="1:12" x14ac:dyDescent="0.25">
      <c r="A21" s="17" t="s">
        <v>106</v>
      </c>
      <c r="B21" s="18" t="s">
        <v>107</v>
      </c>
      <c r="C21" s="18" t="s">
        <v>108</v>
      </c>
      <c r="D21" s="18" t="s">
        <v>109</v>
      </c>
      <c r="E21" s="18" t="s">
        <v>16</v>
      </c>
      <c r="F21" s="18" t="s">
        <v>17</v>
      </c>
      <c r="G21" s="18" t="s">
        <v>110</v>
      </c>
      <c r="H21" s="18">
        <v>0</v>
      </c>
      <c r="I21" s="18">
        <v>-32767</v>
      </c>
      <c r="J21" s="18">
        <v>32768</v>
      </c>
      <c r="K21" s="18" t="s">
        <v>111</v>
      </c>
    </row>
    <row r="22" spans="1:12" x14ac:dyDescent="0.25">
      <c r="A22" s="17" t="s">
        <v>112</v>
      </c>
      <c r="B22" s="18" t="s">
        <v>113</v>
      </c>
      <c r="C22" s="18" t="s">
        <v>114</v>
      </c>
      <c r="D22" s="18" t="s">
        <v>115</v>
      </c>
      <c r="E22" s="18" t="s">
        <v>116</v>
      </c>
      <c r="F22" s="18" t="s">
        <v>17</v>
      </c>
      <c r="G22" s="18" t="s">
        <v>110</v>
      </c>
      <c r="H22" s="18">
        <v>-32767</v>
      </c>
      <c r="I22" s="18">
        <v>-32767</v>
      </c>
      <c r="J22" s="18">
        <v>32768</v>
      </c>
      <c r="K22" s="18" t="s">
        <v>111</v>
      </c>
    </row>
    <row r="23" spans="1:12" x14ac:dyDescent="0.25">
      <c r="A23" s="17" t="s">
        <v>117</v>
      </c>
      <c r="B23" s="18" t="s">
        <v>118</v>
      </c>
      <c r="C23" s="18" t="s">
        <v>119</v>
      </c>
      <c r="D23" s="18" t="s">
        <v>115</v>
      </c>
      <c r="E23" s="18" t="s">
        <v>120</v>
      </c>
      <c r="F23" s="18" t="s">
        <v>17</v>
      </c>
      <c r="G23" s="18" t="s">
        <v>110</v>
      </c>
      <c r="H23" s="18">
        <v>32768</v>
      </c>
      <c r="I23" s="18">
        <v>-32767</v>
      </c>
      <c r="J23" s="18">
        <v>32768</v>
      </c>
      <c r="K23" s="18" t="s">
        <v>111</v>
      </c>
    </row>
    <row r="24" spans="1:12" x14ac:dyDescent="0.25">
      <c r="A24" s="17" t="s">
        <v>121</v>
      </c>
      <c r="B24" s="18" t="s">
        <v>122</v>
      </c>
      <c r="C24" s="18" t="s">
        <v>123</v>
      </c>
      <c r="D24" s="18" t="s">
        <v>124</v>
      </c>
      <c r="E24" s="18" t="s">
        <v>16</v>
      </c>
      <c r="F24" s="18" t="s">
        <v>17</v>
      </c>
      <c r="G24" s="18" t="s">
        <v>104</v>
      </c>
      <c r="H24" s="18">
        <v>2000</v>
      </c>
      <c r="I24" s="18">
        <v>1</v>
      </c>
      <c r="J24" s="18">
        <v>4294967295</v>
      </c>
      <c r="K24" s="18" t="s">
        <v>125</v>
      </c>
    </row>
    <row r="25" spans="1:12" x14ac:dyDescent="0.25">
      <c r="A25" s="17" t="s">
        <v>126</v>
      </c>
      <c r="B25" s="18" t="s">
        <v>127</v>
      </c>
      <c r="C25" s="18" t="s">
        <v>128</v>
      </c>
      <c r="D25" s="18" t="s">
        <v>129</v>
      </c>
      <c r="E25" s="18" t="s">
        <v>16</v>
      </c>
      <c r="F25" s="18" t="s">
        <v>17</v>
      </c>
      <c r="G25" s="18" t="s">
        <v>104</v>
      </c>
      <c r="H25" s="18">
        <v>10</v>
      </c>
      <c r="I25" s="18">
        <v>1</v>
      </c>
      <c r="J25" s="18">
        <v>40</v>
      </c>
      <c r="K25" s="18" t="s">
        <v>125</v>
      </c>
      <c r="L25" s="21" t="s">
        <v>130</v>
      </c>
    </row>
    <row r="26" spans="1:12" x14ac:dyDescent="0.25">
      <c r="A26" s="17" t="s">
        <v>131</v>
      </c>
      <c r="B26" s="18" t="s">
        <v>132</v>
      </c>
      <c r="C26" s="18" t="s">
        <v>133</v>
      </c>
      <c r="D26" s="18" t="s">
        <v>134</v>
      </c>
      <c r="E26" s="18" t="s">
        <v>16</v>
      </c>
      <c r="F26" s="18" t="s">
        <v>17</v>
      </c>
      <c r="G26" s="18" t="s">
        <v>104</v>
      </c>
      <c r="H26" s="18">
        <v>50</v>
      </c>
      <c r="I26" s="18">
        <v>1</v>
      </c>
      <c r="J26" s="18">
        <v>200</v>
      </c>
      <c r="K26" s="18" t="s">
        <v>135</v>
      </c>
    </row>
    <row r="27" spans="1:12" x14ac:dyDescent="0.25">
      <c r="A27" s="17" t="s">
        <v>136</v>
      </c>
      <c r="B27" s="18" t="s">
        <v>137</v>
      </c>
      <c r="C27" s="18" t="s">
        <v>138</v>
      </c>
      <c r="D27" s="18" t="s">
        <v>139</v>
      </c>
      <c r="E27" s="18" t="s">
        <v>16</v>
      </c>
      <c r="F27" s="18" t="s">
        <v>17</v>
      </c>
      <c r="G27" s="18" t="s">
        <v>104</v>
      </c>
      <c r="H27" s="18">
        <v>50</v>
      </c>
      <c r="I27" s="18">
        <v>1</v>
      </c>
      <c r="J27" s="18">
        <v>200</v>
      </c>
      <c r="K27" s="18" t="s">
        <v>135</v>
      </c>
    </row>
    <row r="28" spans="1:12" ht="42" x14ac:dyDescent="0.25">
      <c r="A28" s="17" t="s">
        <v>140</v>
      </c>
      <c r="B28" s="18" t="s">
        <v>141</v>
      </c>
      <c r="C28" s="18" t="s">
        <v>142</v>
      </c>
      <c r="D28" s="18" t="s">
        <v>143</v>
      </c>
      <c r="E28" s="18" t="s">
        <v>16</v>
      </c>
      <c r="F28" s="18" t="s">
        <v>17</v>
      </c>
      <c r="G28" s="18" t="s">
        <v>144</v>
      </c>
      <c r="H28" s="18">
        <v>0</v>
      </c>
      <c r="I28" s="18">
        <v>-128</v>
      </c>
      <c r="J28" s="18">
        <v>127</v>
      </c>
      <c r="K28" s="18" t="s">
        <v>21</v>
      </c>
      <c r="L28" s="21" t="s">
        <v>145</v>
      </c>
    </row>
    <row r="29" spans="1:12" x14ac:dyDescent="0.25">
      <c r="A29" s="17" t="s">
        <v>146</v>
      </c>
      <c r="B29" s="18" t="s">
        <v>147</v>
      </c>
      <c r="C29" s="18" t="s">
        <v>148</v>
      </c>
      <c r="D29" s="69" t="s">
        <v>515</v>
      </c>
      <c r="E29" s="18" t="s">
        <v>16</v>
      </c>
      <c r="F29" s="18" t="s">
        <v>17</v>
      </c>
      <c r="G29" s="18" t="s">
        <v>144</v>
      </c>
      <c r="H29" s="18">
        <v>0</v>
      </c>
      <c r="I29" s="18">
        <v>-128</v>
      </c>
      <c r="J29" s="18">
        <v>127</v>
      </c>
      <c r="K29" s="18" t="s">
        <v>21</v>
      </c>
    </row>
    <row r="30" spans="1:12" x14ac:dyDescent="0.25">
      <c r="A30" s="17" t="s">
        <v>149</v>
      </c>
      <c r="B30" s="18" t="s">
        <v>150</v>
      </c>
      <c r="C30" s="18" t="s">
        <v>151</v>
      </c>
      <c r="D30" s="18" t="s">
        <v>152</v>
      </c>
      <c r="E30" s="18" t="s">
        <v>16</v>
      </c>
      <c r="F30" s="18" t="s">
        <v>17</v>
      </c>
      <c r="G30" s="18" t="s">
        <v>110</v>
      </c>
      <c r="H30" s="18">
        <v>0</v>
      </c>
      <c r="I30" s="18">
        <v>-2147483648</v>
      </c>
      <c r="J30" s="18">
        <v>2147483647</v>
      </c>
      <c r="K30" s="18" t="s">
        <v>125</v>
      </c>
    </row>
    <row r="31" spans="1:12" x14ac:dyDescent="0.25">
      <c r="A31" s="17" t="s">
        <v>153</v>
      </c>
      <c r="B31" s="18" t="s">
        <v>154</v>
      </c>
      <c r="C31" s="18" t="s">
        <v>155</v>
      </c>
      <c r="D31" s="18" t="s">
        <v>156</v>
      </c>
      <c r="E31" s="18" t="s">
        <v>16</v>
      </c>
      <c r="F31" s="18" t="s">
        <v>69</v>
      </c>
      <c r="G31" s="18" t="s">
        <v>110</v>
      </c>
      <c r="H31" s="18">
        <v>0</v>
      </c>
      <c r="I31" s="18">
        <v>-2147483648</v>
      </c>
      <c r="J31" s="18">
        <v>2147483647</v>
      </c>
      <c r="K31" s="18" t="s">
        <v>125</v>
      </c>
    </row>
    <row r="32" spans="1:12" x14ac:dyDescent="0.25">
      <c r="A32" s="17" t="s">
        <v>157</v>
      </c>
      <c r="B32" s="18" t="s">
        <v>158</v>
      </c>
      <c r="C32" s="18" t="s">
        <v>159</v>
      </c>
      <c r="D32" s="18" t="s">
        <v>160</v>
      </c>
      <c r="E32" s="18" t="s">
        <v>16</v>
      </c>
      <c r="F32" s="18" t="s">
        <v>69</v>
      </c>
      <c r="G32" s="18" t="s">
        <v>110</v>
      </c>
      <c r="H32" s="18">
        <v>0</v>
      </c>
      <c r="I32" s="18">
        <v>-32767</v>
      </c>
      <c r="J32" s="18">
        <v>32768</v>
      </c>
      <c r="K32" s="18" t="s">
        <v>111</v>
      </c>
    </row>
    <row r="33" spans="1:11" x14ac:dyDescent="0.25">
      <c r="A33" s="17" t="s">
        <v>161</v>
      </c>
      <c r="B33" s="18" t="s">
        <v>162</v>
      </c>
      <c r="C33" s="18" t="s">
        <v>163</v>
      </c>
      <c r="D33" s="18" t="s">
        <v>164</v>
      </c>
      <c r="E33" s="18" t="s">
        <v>16</v>
      </c>
      <c r="F33" s="18" t="s">
        <v>69</v>
      </c>
      <c r="G33" s="18" t="s">
        <v>110</v>
      </c>
      <c r="H33" s="18">
        <v>0</v>
      </c>
      <c r="I33" s="18">
        <v>-32767</v>
      </c>
      <c r="J33" s="18">
        <v>32768</v>
      </c>
      <c r="K33" s="18" t="s">
        <v>111</v>
      </c>
    </row>
  </sheetData>
  <phoneticPr fontId="1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"/>
  <sheetViews>
    <sheetView topLeftCell="A83" zoomScale="115" zoomScaleNormal="115" workbookViewId="0">
      <selection activeCell="D103" sqref="D103"/>
    </sheetView>
  </sheetViews>
  <sheetFormatPr defaultColWidth="9" defaultRowHeight="14" x14ac:dyDescent="0.25"/>
  <cols>
    <col min="1" max="1" width="6.453125" style="1" customWidth="1"/>
    <col min="2" max="2" width="7.08984375" style="1" customWidth="1"/>
    <col min="3" max="3" width="27.08984375" style="1" customWidth="1"/>
    <col min="4" max="4" width="37.90625" style="1" customWidth="1"/>
    <col min="5" max="5" width="42.36328125" style="1" customWidth="1"/>
    <col min="6" max="7" width="9" style="1"/>
    <col min="8" max="8" width="27.36328125" style="1" customWidth="1"/>
    <col min="9" max="9" width="23.08984375" style="1" customWidth="1"/>
    <col min="10" max="10" width="58.6328125" style="1" customWidth="1"/>
    <col min="11" max="11" width="12.08984375" style="1" customWidth="1"/>
    <col min="12" max="16384" width="9" style="1"/>
  </cols>
  <sheetData>
    <row r="1" spans="1:10" ht="20.149999999999999" customHeight="1" x14ac:dyDescent="0.25">
      <c r="A1" s="110" t="s">
        <v>311</v>
      </c>
      <c r="B1" s="111"/>
      <c r="C1" s="111"/>
      <c r="D1" s="111"/>
      <c r="E1" s="112"/>
      <c r="F1" s="110" t="s">
        <v>312</v>
      </c>
      <c r="G1" s="111"/>
      <c r="H1" s="111"/>
      <c r="I1" s="112"/>
      <c r="J1" s="14"/>
    </row>
    <row r="2" spans="1:10" ht="20.149999999999999" customHeight="1" x14ac:dyDescent="0.25">
      <c r="A2" s="103" t="s">
        <v>165</v>
      </c>
      <c r="B2" s="104"/>
      <c r="C2" s="104"/>
      <c r="D2" s="104"/>
      <c r="E2" s="105"/>
      <c r="F2" s="103" t="s">
        <v>166</v>
      </c>
      <c r="G2" s="104"/>
      <c r="H2" s="104"/>
      <c r="I2" s="105"/>
      <c r="J2" s="14"/>
    </row>
    <row r="3" spans="1:10" ht="20.149999999999999" customHeight="1" x14ac:dyDescent="0.25">
      <c r="A3" s="103" t="s">
        <v>167</v>
      </c>
      <c r="B3" s="104"/>
      <c r="C3" s="104"/>
      <c r="D3" s="104"/>
      <c r="E3" s="105"/>
      <c r="F3" s="2" t="s">
        <v>168</v>
      </c>
      <c r="G3" s="2" t="s">
        <v>169</v>
      </c>
      <c r="H3" s="2" t="s">
        <v>170</v>
      </c>
      <c r="I3" s="2" t="s">
        <v>171</v>
      </c>
      <c r="J3" s="14"/>
    </row>
    <row r="4" spans="1:10" ht="20.149999999999999" customHeight="1" x14ac:dyDescent="0.25">
      <c r="A4" s="2" t="s">
        <v>168</v>
      </c>
      <c r="B4" s="2" t="s">
        <v>169</v>
      </c>
      <c r="C4" s="2" t="s">
        <v>170</v>
      </c>
      <c r="D4" s="3" t="s">
        <v>171</v>
      </c>
      <c r="E4" s="4" t="s">
        <v>172</v>
      </c>
      <c r="F4" s="2">
        <v>601</v>
      </c>
      <c r="G4" s="2">
        <v>8</v>
      </c>
      <c r="H4" s="2" t="s">
        <v>173</v>
      </c>
      <c r="I4" s="4" t="s">
        <v>174</v>
      </c>
      <c r="J4" s="14"/>
    </row>
    <row r="5" spans="1:10" ht="20.149999999999999" customHeight="1" x14ac:dyDescent="0.25">
      <c r="A5" s="2">
        <v>601</v>
      </c>
      <c r="B5" s="2">
        <v>8</v>
      </c>
      <c r="C5" s="2" t="s">
        <v>175</v>
      </c>
      <c r="D5" s="5" t="s">
        <v>176</v>
      </c>
      <c r="E5" s="4"/>
      <c r="F5" s="2">
        <v>581</v>
      </c>
      <c r="G5" s="2">
        <v>8</v>
      </c>
      <c r="H5" s="2" t="s">
        <v>177</v>
      </c>
      <c r="I5" s="4" t="s">
        <v>178</v>
      </c>
      <c r="J5" s="14"/>
    </row>
    <row r="6" spans="1:10" ht="20.149999999999999" customHeight="1" x14ac:dyDescent="0.25">
      <c r="A6" s="2">
        <v>601</v>
      </c>
      <c r="B6" s="2">
        <v>8</v>
      </c>
      <c r="C6" s="2" t="s">
        <v>179</v>
      </c>
      <c r="D6" s="5" t="s">
        <v>180</v>
      </c>
      <c r="E6" s="4"/>
      <c r="F6" s="2">
        <v>601</v>
      </c>
      <c r="G6" s="2">
        <v>8</v>
      </c>
      <c r="H6" s="2" t="s">
        <v>181</v>
      </c>
      <c r="I6" s="4" t="s">
        <v>182</v>
      </c>
      <c r="J6" s="14"/>
    </row>
    <row r="7" spans="1:10" ht="20.149999999999999" customHeight="1" x14ac:dyDescent="0.25">
      <c r="A7" s="2">
        <v>601</v>
      </c>
      <c r="B7" s="2">
        <v>8</v>
      </c>
      <c r="C7" s="2" t="s">
        <v>183</v>
      </c>
      <c r="D7" s="5" t="s">
        <v>184</v>
      </c>
      <c r="E7" s="4"/>
      <c r="F7" s="2">
        <v>581</v>
      </c>
      <c r="G7" s="2">
        <v>8</v>
      </c>
      <c r="H7" s="2" t="s">
        <v>185</v>
      </c>
      <c r="I7" s="4" t="s">
        <v>186</v>
      </c>
      <c r="J7" s="14"/>
    </row>
    <row r="8" spans="1:10" ht="20.149999999999999" customHeight="1" x14ac:dyDescent="0.25">
      <c r="A8" s="107" t="s">
        <v>187</v>
      </c>
      <c r="B8" s="113"/>
      <c r="C8" s="113"/>
      <c r="D8" s="113"/>
      <c r="E8" s="6"/>
      <c r="F8" s="2">
        <v>601</v>
      </c>
      <c r="G8" s="2">
        <v>8</v>
      </c>
      <c r="H8" s="2" t="s">
        <v>188</v>
      </c>
      <c r="I8" s="4" t="s">
        <v>189</v>
      </c>
      <c r="J8" s="14"/>
    </row>
    <row r="9" spans="1:10" ht="20.149999999999999" customHeight="1" x14ac:dyDescent="0.25">
      <c r="A9" s="2">
        <v>601</v>
      </c>
      <c r="B9" s="2">
        <v>8</v>
      </c>
      <c r="C9" s="2" t="s">
        <v>190</v>
      </c>
      <c r="D9" s="5" t="s">
        <v>191</v>
      </c>
      <c r="E9" s="4"/>
      <c r="F9" s="2">
        <v>581</v>
      </c>
      <c r="G9" s="2">
        <v>8</v>
      </c>
      <c r="H9" s="2" t="s">
        <v>192</v>
      </c>
      <c r="I9" s="4" t="s">
        <v>193</v>
      </c>
      <c r="J9" s="14"/>
    </row>
    <row r="10" spans="1:10" ht="20.149999999999999" customHeight="1" x14ac:dyDescent="0.25">
      <c r="A10" s="107" t="s">
        <v>194</v>
      </c>
      <c r="B10" s="113"/>
      <c r="C10" s="113"/>
      <c r="D10" s="113"/>
      <c r="E10" s="6"/>
      <c r="F10" s="2">
        <v>601</v>
      </c>
      <c r="G10" s="2">
        <v>8</v>
      </c>
      <c r="H10" s="2" t="s">
        <v>188</v>
      </c>
      <c r="I10" s="4" t="s">
        <v>189</v>
      </c>
      <c r="J10" s="14"/>
    </row>
    <row r="11" spans="1:10" ht="20.149999999999999" customHeight="1" x14ac:dyDescent="0.25">
      <c r="A11" s="2">
        <v>601</v>
      </c>
      <c r="B11" s="2">
        <v>8</v>
      </c>
      <c r="C11" s="2" t="s">
        <v>195</v>
      </c>
      <c r="D11" s="5" t="s">
        <v>196</v>
      </c>
      <c r="E11" s="4" t="s">
        <v>197</v>
      </c>
      <c r="F11" s="2">
        <v>581</v>
      </c>
      <c r="G11" s="2">
        <v>8</v>
      </c>
      <c r="H11" s="2" t="s">
        <v>192</v>
      </c>
      <c r="I11" s="4" t="s">
        <v>193</v>
      </c>
      <c r="J11" s="14"/>
    </row>
    <row r="12" spans="1:10" ht="20.149999999999999" customHeight="1" x14ac:dyDescent="0.25">
      <c r="A12" s="2">
        <v>601</v>
      </c>
      <c r="B12" s="2">
        <v>8</v>
      </c>
      <c r="C12" s="2" t="s">
        <v>198</v>
      </c>
      <c r="D12" s="5" t="s">
        <v>199</v>
      </c>
      <c r="E12" s="4" t="s">
        <v>197</v>
      </c>
      <c r="F12" s="2">
        <v>601</v>
      </c>
      <c r="G12" s="2">
        <v>8</v>
      </c>
      <c r="H12" s="2" t="s">
        <v>200</v>
      </c>
      <c r="I12" s="4" t="s">
        <v>201</v>
      </c>
      <c r="J12" s="14"/>
    </row>
    <row r="13" spans="1:10" ht="79.5" customHeight="1" x14ac:dyDescent="0.25">
      <c r="A13" s="2">
        <v>601</v>
      </c>
      <c r="B13" s="2">
        <v>8</v>
      </c>
      <c r="C13" s="2" t="s">
        <v>202</v>
      </c>
      <c r="D13" s="5" t="s">
        <v>203</v>
      </c>
      <c r="E13" s="4" t="s">
        <v>204</v>
      </c>
      <c r="F13" s="2">
        <v>581</v>
      </c>
      <c r="G13" s="2">
        <v>8</v>
      </c>
      <c r="H13" s="2" t="s">
        <v>205</v>
      </c>
      <c r="I13" s="4" t="s">
        <v>206</v>
      </c>
      <c r="J13" s="32" t="s">
        <v>313</v>
      </c>
    </row>
    <row r="14" spans="1:10" ht="25.5" customHeight="1" x14ac:dyDescent="0.25">
      <c r="A14" s="107" t="s">
        <v>207</v>
      </c>
      <c r="B14" s="113"/>
      <c r="C14" s="113"/>
      <c r="D14" s="113"/>
      <c r="E14" s="6"/>
      <c r="F14" s="2">
        <v>601</v>
      </c>
      <c r="G14" s="2">
        <v>8</v>
      </c>
      <c r="H14" s="2" t="s">
        <v>208</v>
      </c>
      <c r="I14" s="4" t="s">
        <v>209</v>
      </c>
      <c r="J14" s="14"/>
    </row>
    <row r="15" spans="1:10" ht="32.25" customHeight="1" x14ac:dyDescent="0.25">
      <c r="A15" s="2">
        <v>601</v>
      </c>
      <c r="B15" s="2">
        <v>8</v>
      </c>
      <c r="C15" s="2" t="s">
        <v>210</v>
      </c>
      <c r="D15" s="5" t="s">
        <v>211</v>
      </c>
      <c r="E15" s="7" t="s">
        <v>212</v>
      </c>
      <c r="F15" s="2">
        <v>581</v>
      </c>
      <c r="G15" s="2">
        <v>8</v>
      </c>
      <c r="H15" s="2" t="s">
        <v>213</v>
      </c>
      <c r="I15" s="4" t="s">
        <v>214</v>
      </c>
      <c r="J15" s="15" t="s">
        <v>215</v>
      </c>
    </row>
    <row r="16" spans="1:10" ht="20.149999999999999" customHeight="1" x14ac:dyDescent="0.25">
      <c r="A16" s="2">
        <v>601</v>
      </c>
      <c r="B16" s="2">
        <v>8</v>
      </c>
      <c r="C16" s="2" t="s">
        <v>216</v>
      </c>
      <c r="D16" s="5" t="s">
        <v>217</v>
      </c>
      <c r="E16" s="4"/>
      <c r="F16" s="2">
        <v>601</v>
      </c>
      <c r="G16" s="2">
        <v>8</v>
      </c>
      <c r="H16" s="2" t="s">
        <v>218</v>
      </c>
      <c r="I16" s="4" t="s">
        <v>219</v>
      </c>
      <c r="J16" s="1" t="s">
        <v>514</v>
      </c>
    </row>
    <row r="17" spans="1:10" ht="20.149999999999999" customHeight="1" x14ac:dyDescent="0.25">
      <c r="A17" s="107" t="s">
        <v>220</v>
      </c>
      <c r="B17" s="113"/>
      <c r="C17" s="113"/>
      <c r="D17" s="113"/>
      <c r="E17" s="6"/>
      <c r="F17" s="2">
        <v>581</v>
      </c>
      <c r="G17" s="2">
        <v>8</v>
      </c>
      <c r="H17" s="2" t="s">
        <v>221</v>
      </c>
      <c r="I17" s="4" t="s">
        <v>222</v>
      </c>
    </row>
    <row r="18" spans="1:10" ht="20.149999999999999" customHeight="1" x14ac:dyDescent="0.25">
      <c r="A18" s="2">
        <v>601</v>
      </c>
      <c r="B18" s="2">
        <v>8</v>
      </c>
      <c r="C18" s="2" t="s">
        <v>183</v>
      </c>
      <c r="D18" s="5" t="s">
        <v>223</v>
      </c>
      <c r="E18" s="4"/>
      <c r="F18" s="2">
        <v>601</v>
      </c>
      <c r="G18" s="2">
        <v>8</v>
      </c>
      <c r="H18" s="2" t="s">
        <v>505</v>
      </c>
      <c r="I18" s="4" t="s">
        <v>507</v>
      </c>
    </row>
    <row r="19" spans="1:10" ht="20.149999999999999" customHeight="1" x14ac:dyDescent="0.25">
      <c r="A19" s="3"/>
      <c r="B19" s="8"/>
      <c r="C19" s="8"/>
      <c r="D19" s="9"/>
      <c r="E19" s="4"/>
      <c r="F19" s="2">
        <v>581</v>
      </c>
      <c r="G19" s="2">
        <v>8</v>
      </c>
      <c r="H19" s="2" t="s">
        <v>275</v>
      </c>
      <c r="I19" s="4" t="s">
        <v>224</v>
      </c>
      <c r="J19" s="1" t="s">
        <v>225</v>
      </c>
    </row>
    <row r="20" spans="1:10" ht="20.149999999999999" customHeight="1" x14ac:dyDescent="0.25">
      <c r="A20" s="103" t="s">
        <v>226</v>
      </c>
      <c r="B20" s="104"/>
      <c r="C20" s="104"/>
      <c r="D20" s="104"/>
      <c r="E20" s="105"/>
      <c r="F20" s="2">
        <v>601</v>
      </c>
      <c r="G20" s="2">
        <v>8</v>
      </c>
      <c r="H20" s="2" t="s">
        <v>508</v>
      </c>
      <c r="I20" s="4" t="s">
        <v>509</v>
      </c>
    </row>
    <row r="21" spans="1:10" ht="20.149999999999999" customHeight="1" x14ac:dyDescent="0.25">
      <c r="A21" s="103" t="s">
        <v>167</v>
      </c>
      <c r="B21" s="104"/>
      <c r="C21" s="104"/>
      <c r="D21" s="104"/>
      <c r="E21" s="105"/>
      <c r="F21" s="2">
        <v>581</v>
      </c>
      <c r="G21" s="2">
        <v>8</v>
      </c>
      <c r="H21" s="2" t="s">
        <v>275</v>
      </c>
      <c r="I21" s="4" t="s">
        <v>224</v>
      </c>
    </row>
    <row r="22" spans="1:10" ht="20.149999999999999" customHeight="1" x14ac:dyDescent="0.25">
      <c r="A22" s="2" t="s">
        <v>168</v>
      </c>
      <c r="B22" s="2" t="s">
        <v>169</v>
      </c>
      <c r="C22" s="2" t="s">
        <v>170</v>
      </c>
      <c r="D22" s="3" t="s">
        <v>171</v>
      </c>
      <c r="E22" s="2"/>
      <c r="H22" s="1" t="s">
        <v>504</v>
      </c>
      <c r="I22" s="1" t="s">
        <v>506</v>
      </c>
    </row>
    <row r="23" spans="1:10" ht="20.149999999999999" customHeight="1" x14ac:dyDescent="0.25">
      <c r="A23" s="2">
        <v>601</v>
      </c>
      <c r="B23" s="2">
        <v>8</v>
      </c>
      <c r="C23" s="2" t="s">
        <v>175</v>
      </c>
      <c r="D23" s="5" t="s">
        <v>176</v>
      </c>
      <c r="E23" s="4"/>
    </row>
    <row r="24" spans="1:10" ht="20.149999999999999" customHeight="1" x14ac:dyDescent="0.25">
      <c r="A24" s="2">
        <v>601</v>
      </c>
      <c r="B24" s="2">
        <v>8</v>
      </c>
      <c r="C24" s="2" t="s">
        <v>179</v>
      </c>
      <c r="D24" s="5" t="s">
        <v>180</v>
      </c>
      <c r="E24" s="4"/>
    </row>
    <row r="25" spans="1:10" ht="20.149999999999999" customHeight="1" x14ac:dyDescent="0.25">
      <c r="A25" s="2">
        <v>601</v>
      </c>
      <c r="B25" s="2">
        <v>8</v>
      </c>
      <c r="C25" s="2" t="s">
        <v>183</v>
      </c>
      <c r="D25" s="5" t="s">
        <v>184</v>
      </c>
      <c r="E25" s="4"/>
    </row>
    <row r="26" spans="1:10" ht="20.149999999999999" customHeight="1" x14ac:dyDescent="0.25">
      <c r="A26" s="107" t="s">
        <v>187</v>
      </c>
      <c r="B26" s="108"/>
      <c r="C26" s="108"/>
      <c r="D26" s="108"/>
      <c r="E26" s="109"/>
    </row>
    <row r="27" spans="1:10" ht="20.149999999999999" customHeight="1" x14ac:dyDescent="0.25">
      <c r="A27" s="2">
        <v>601</v>
      </c>
      <c r="B27" s="2">
        <v>8</v>
      </c>
      <c r="C27" s="2" t="s">
        <v>227</v>
      </c>
      <c r="D27" s="5" t="s">
        <v>228</v>
      </c>
      <c r="E27" s="4"/>
    </row>
    <row r="28" spans="1:10" ht="20.149999999999999" customHeight="1" x14ac:dyDescent="0.25">
      <c r="A28" s="107" t="s">
        <v>194</v>
      </c>
      <c r="B28" s="108"/>
      <c r="C28" s="108"/>
      <c r="D28" s="108"/>
      <c r="E28" s="109"/>
    </row>
    <row r="29" spans="1:10" ht="20.149999999999999" customHeight="1" x14ac:dyDescent="0.25">
      <c r="A29" s="2">
        <v>601</v>
      </c>
      <c r="B29" s="2">
        <v>8</v>
      </c>
      <c r="C29" s="2" t="s">
        <v>229</v>
      </c>
      <c r="D29" s="5" t="s">
        <v>230</v>
      </c>
      <c r="E29" s="4" t="s">
        <v>197</v>
      </c>
      <c r="H29" s="1">
        <f>0.84*182</f>
        <v>152.88</v>
      </c>
    </row>
    <row r="30" spans="1:10" ht="20.149999999999999" customHeight="1" x14ac:dyDescent="0.25">
      <c r="A30" s="2">
        <v>601</v>
      </c>
      <c r="B30" s="2">
        <v>8</v>
      </c>
      <c r="C30" s="2" t="s">
        <v>231</v>
      </c>
      <c r="D30" s="5" t="s">
        <v>232</v>
      </c>
      <c r="E30" s="4" t="s">
        <v>197</v>
      </c>
    </row>
    <row r="31" spans="1:10" ht="20.149999999999999" customHeight="1" x14ac:dyDescent="0.25">
      <c r="A31" s="2">
        <v>601</v>
      </c>
      <c r="B31" s="2">
        <v>8</v>
      </c>
      <c r="C31" s="2" t="s">
        <v>233</v>
      </c>
      <c r="D31" s="5" t="s">
        <v>234</v>
      </c>
      <c r="E31" s="7" t="s">
        <v>235</v>
      </c>
      <c r="H31" s="1">
        <f>152/182</f>
        <v>0.8351648351648352</v>
      </c>
    </row>
    <row r="32" spans="1:10" ht="20.149999999999999" customHeight="1" x14ac:dyDescent="0.25">
      <c r="A32" s="3"/>
      <c r="B32" s="8"/>
      <c r="C32" s="8"/>
      <c r="D32" s="9"/>
      <c r="E32" s="10"/>
    </row>
    <row r="33" spans="1:5" ht="20.149999999999999" customHeight="1" x14ac:dyDescent="0.25">
      <c r="A33" s="103" t="s">
        <v>236</v>
      </c>
      <c r="B33" s="104"/>
      <c r="C33" s="104"/>
      <c r="D33" s="104"/>
      <c r="E33" s="105"/>
    </row>
    <row r="34" spans="1:5" ht="20.149999999999999" customHeight="1" x14ac:dyDescent="0.25">
      <c r="A34" s="103" t="s">
        <v>167</v>
      </c>
      <c r="B34" s="104"/>
      <c r="C34" s="104"/>
      <c r="D34" s="104"/>
      <c r="E34" s="105"/>
    </row>
    <row r="35" spans="1:5" ht="20.149999999999999" customHeight="1" x14ac:dyDescent="0.25">
      <c r="A35" s="2" t="s">
        <v>168</v>
      </c>
      <c r="B35" s="2" t="s">
        <v>169</v>
      </c>
      <c r="C35" s="2" t="s">
        <v>170</v>
      </c>
      <c r="D35" s="3" t="s">
        <v>171</v>
      </c>
      <c r="E35" s="2"/>
    </row>
    <row r="36" spans="1:5" ht="20.149999999999999" customHeight="1" x14ac:dyDescent="0.25">
      <c r="A36" s="2">
        <v>601</v>
      </c>
      <c r="B36" s="2">
        <v>8</v>
      </c>
      <c r="C36" s="2" t="s">
        <v>175</v>
      </c>
      <c r="D36" s="5" t="s">
        <v>176</v>
      </c>
      <c r="E36" s="4"/>
    </row>
    <row r="37" spans="1:5" ht="20.149999999999999" customHeight="1" x14ac:dyDescent="0.25">
      <c r="A37" s="2">
        <v>601</v>
      </c>
      <c r="B37" s="2">
        <v>8</v>
      </c>
      <c r="C37" s="2" t="s">
        <v>179</v>
      </c>
      <c r="D37" s="5" t="s">
        <v>180</v>
      </c>
      <c r="E37" s="4"/>
    </row>
    <row r="38" spans="1:5" ht="20.149999999999999" customHeight="1" x14ac:dyDescent="0.25">
      <c r="A38" s="2">
        <v>601</v>
      </c>
      <c r="B38" s="2">
        <v>8</v>
      </c>
      <c r="C38" s="2" t="s">
        <v>183</v>
      </c>
      <c r="D38" s="5" t="s">
        <v>184</v>
      </c>
      <c r="E38" s="4"/>
    </row>
    <row r="39" spans="1:5" ht="20.149999999999999" customHeight="1" x14ac:dyDescent="0.25">
      <c r="A39" s="107" t="s">
        <v>187</v>
      </c>
      <c r="B39" s="108"/>
      <c r="C39" s="108"/>
      <c r="D39" s="108"/>
      <c r="E39" s="109"/>
    </row>
    <row r="40" spans="1:5" ht="20.149999999999999" customHeight="1" x14ac:dyDescent="0.25">
      <c r="A40" s="2">
        <v>601</v>
      </c>
      <c r="B40" s="2">
        <v>8</v>
      </c>
      <c r="C40" s="2" t="s">
        <v>237</v>
      </c>
      <c r="D40" s="5" t="s">
        <v>238</v>
      </c>
      <c r="E40" s="4"/>
    </row>
    <row r="41" spans="1:5" ht="20.149999999999999" customHeight="1" x14ac:dyDescent="0.25">
      <c r="A41" s="107" t="s">
        <v>194</v>
      </c>
      <c r="B41" s="108"/>
      <c r="C41" s="108"/>
      <c r="D41" s="108"/>
      <c r="E41" s="109"/>
    </row>
    <row r="42" spans="1:5" ht="38.25" customHeight="1" x14ac:dyDescent="0.25">
      <c r="A42" s="2">
        <v>601</v>
      </c>
      <c r="B42" s="2">
        <v>8</v>
      </c>
      <c r="C42" s="2" t="s">
        <v>239</v>
      </c>
      <c r="D42" s="5" t="s">
        <v>240</v>
      </c>
      <c r="E42" s="7" t="s">
        <v>241</v>
      </c>
    </row>
    <row r="43" spans="1:5" ht="20.149999999999999" customHeight="1" x14ac:dyDescent="0.25">
      <c r="A43" s="3"/>
      <c r="B43" s="8"/>
      <c r="C43" s="8"/>
      <c r="D43" s="9"/>
      <c r="E43" s="11"/>
    </row>
    <row r="44" spans="1:5" ht="20.149999999999999" customHeight="1" x14ac:dyDescent="0.25">
      <c r="A44" s="103" t="s">
        <v>242</v>
      </c>
      <c r="B44" s="104"/>
      <c r="C44" s="104"/>
      <c r="D44" s="104"/>
      <c r="E44" s="105"/>
    </row>
    <row r="45" spans="1:5" ht="20.149999999999999" customHeight="1" x14ac:dyDescent="0.25">
      <c r="A45" s="2" t="s">
        <v>168</v>
      </c>
      <c r="B45" s="2" t="s">
        <v>169</v>
      </c>
      <c r="C45" s="2" t="s">
        <v>170</v>
      </c>
      <c r="D45" s="3" t="s">
        <v>171</v>
      </c>
      <c r="E45" s="2"/>
    </row>
    <row r="46" spans="1:5" ht="20.149999999999999" customHeight="1" x14ac:dyDescent="0.25">
      <c r="A46" s="2">
        <v>601</v>
      </c>
      <c r="B46" s="2">
        <v>8</v>
      </c>
      <c r="C46" s="2" t="s">
        <v>276</v>
      </c>
      <c r="D46" s="5" t="s">
        <v>243</v>
      </c>
      <c r="E46" s="4"/>
    </row>
    <row r="47" spans="1:5" ht="20.149999999999999" customHeight="1" x14ac:dyDescent="0.25">
      <c r="A47" s="3"/>
      <c r="B47" s="8"/>
      <c r="C47" s="8"/>
      <c r="D47" s="9"/>
      <c r="E47" s="11"/>
    </row>
    <row r="48" spans="1:5" ht="20.149999999999999" customHeight="1" x14ac:dyDescent="0.25">
      <c r="A48" s="103" t="s">
        <v>244</v>
      </c>
      <c r="B48" s="104"/>
      <c r="C48" s="104"/>
      <c r="D48" s="104"/>
      <c r="E48" s="105"/>
    </row>
    <row r="49" spans="1:5" ht="20.149999999999999" customHeight="1" x14ac:dyDescent="0.25">
      <c r="A49" s="2" t="s">
        <v>168</v>
      </c>
      <c r="B49" s="2" t="s">
        <v>169</v>
      </c>
      <c r="C49" s="2" t="s">
        <v>170</v>
      </c>
      <c r="D49" s="3" t="s">
        <v>171</v>
      </c>
      <c r="E49" s="2"/>
    </row>
    <row r="50" spans="1:5" ht="20.149999999999999" customHeight="1" x14ac:dyDescent="0.25">
      <c r="A50" s="2">
        <v>601</v>
      </c>
      <c r="B50" s="2">
        <v>8</v>
      </c>
      <c r="C50" s="2" t="s">
        <v>245</v>
      </c>
      <c r="D50" s="5" t="s">
        <v>246</v>
      </c>
      <c r="E50" s="26" t="s">
        <v>277</v>
      </c>
    </row>
    <row r="51" spans="1:5" ht="20.149999999999999" customHeight="1" x14ac:dyDescent="0.25"/>
    <row r="52" spans="1:5" ht="20.149999999999999" customHeight="1" x14ac:dyDescent="0.25">
      <c r="A52" s="106" t="s">
        <v>296</v>
      </c>
      <c r="B52" s="104"/>
      <c r="C52" s="104"/>
      <c r="D52" s="104"/>
      <c r="E52" s="105"/>
    </row>
    <row r="53" spans="1:5" ht="20.149999999999999" customHeight="1" x14ac:dyDescent="0.25">
      <c r="A53" s="2" t="s">
        <v>168</v>
      </c>
      <c r="B53" s="2" t="s">
        <v>169</v>
      </c>
      <c r="C53" s="2" t="s">
        <v>170</v>
      </c>
      <c r="D53" s="3" t="s">
        <v>171</v>
      </c>
      <c r="E53" s="2"/>
    </row>
    <row r="54" spans="1:5" ht="33" customHeight="1" x14ac:dyDescent="0.25">
      <c r="A54" s="2">
        <v>601</v>
      </c>
      <c r="B54" s="2">
        <v>8</v>
      </c>
      <c r="C54" s="2" t="s">
        <v>247</v>
      </c>
      <c r="D54" s="27" t="s">
        <v>278</v>
      </c>
      <c r="E54" s="12" t="s">
        <v>248</v>
      </c>
    </row>
    <row r="55" spans="1:5" ht="22.5" customHeight="1" x14ac:dyDescent="0.25">
      <c r="A55" s="3"/>
      <c r="B55" s="8"/>
      <c r="C55" s="8"/>
      <c r="D55" s="9"/>
      <c r="E55" s="13"/>
    </row>
    <row r="56" spans="1:5" ht="20.149999999999999" customHeight="1" x14ac:dyDescent="0.25">
      <c r="A56" s="106" t="s">
        <v>295</v>
      </c>
      <c r="B56" s="104"/>
      <c r="C56" s="104"/>
      <c r="D56" s="104"/>
      <c r="E56" s="105"/>
    </row>
    <row r="57" spans="1:5" ht="20.149999999999999" customHeight="1" x14ac:dyDescent="0.25">
      <c r="A57" s="2" t="s">
        <v>168</v>
      </c>
      <c r="B57" s="2" t="s">
        <v>169</v>
      </c>
      <c r="C57" s="2" t="s">
        <v>170</v>
      </c>
      <c r="D57" s="3" t="s">
        <v>171</v>
      </c>
      <c r="E57" s="2"/>
    </row>
    <row r="58" spans="1:5" ht="33" customHeight="1" x14ac:dyDescent="0.25">
      <c r="A58" s="2">
        <v>601</v>
      </c>
      <c r="B58" s="2">
        <v>8</v>
      </c>
      <c r="C58" s="2" t="s">
        <v>249</v>
      </c>
      <c r="D58" s="27" t="s">
        <v>279</v>
      </c>
      <c r="E58" s="12" t="s">
        <v>250</v>
      </c>
    </row>
    <row r="59" spans="1:5" ht="20.149999999999999" customHeight="1" x14ac:dyDescent="0.25">
      <c r="A59" s="3"/>
      <c r="B59" s="8"/>
      <c r="C59" s="8"/>
      <c r="D59" s="9"/>
      <c r="E59" s="13"/>
    </row>
    <row r="60" spans="1:5" ht="20.149999999999999" customHeight="1" x14ac:dyDescent="0.25">
      <c r="A60" s="103" t="s">
        <v>251</v>
      </c>
      <c r="B60" s="104"/>
      <c r="C60" s="104"/>
      <c r="D60" s="104"/>
      <c r="E60" s="105"/>
    </row>
    <row r="61" spans="1:5" ht="20.149999999999999" customHeight="1" x14ac:dyDescent="0.25">
      <c r="A61" s="2" t="s">
        <v>168</v>
      </c>
      <c r="B61" s="2" t="s">
        <v>169</v>
      </c>
      <c r="C61" s="2" t="s">
        <v>170</v>
      </c>
      <c r="D61" s="3" t="s">
        <v>171</v>
      </c>
      <c r="E61" s="2"/>
    </row>
    <row r="62" spans="1:5" ht="20.149999999999999" customHeight="1" x14ac:dyDescent="0.25">
      <c r="A62" s="2">
        <v>601</v>
      </c>
      <c r="B62" s="2">
        <v>8</v>
      </c>
      <c r="C62" s="2" t="s">
        <v>252</v>
      </c>
      <c r="D62" s="5" t="s">
        <v>251</v>
      </c>
      <c r="E62" s="4"/>
    </row>
    <row r="63" spans="1:5" ht="20.149999999999999" customHeight="1" x14ac:dyDescent="0.25"/>
    <row r="64" spans="1:5" ht="20.149999999999999" customHeight="1" x14ac:dyDescent="0.25">
      <c r="A64" s="103" t="s">
        <v>253</v>
      </c>
      <c r="B64" s="104"/>
      <c r="C64" s="104"/>
      <c r="D64" s="104"/>
      <c r="E64" s="105"/>
    </row>
    <row r="65" spans="1:5" ht="20.149999999999999" customHeight="1" x14ac:dyDescent="0.25">
      <c r="A65" s="2" t="s">
        <v>168</v>
      </c>
      <c r="B65" s="2" t="s">
        <v>169</v>
      </c>
      <c r="C65" s="2" t="s">
        <v>170</v>
      </c>
      <c r="D65" s="3" t="s">
        <v>171</v>
      </c>
      <c r="E65" s="2"/>
    </row>
    <row r="66" spans="1:5" ht="20.149999999999999" customHeight="1" x14ac:dyDescent="0.25">
      <c r="A66" s="2">
        <v>601</v>
      </c>
      <c r="B66" s="2">
        <v>8</v>
      </c>
      <c r="C66" s="2" t="s">
        <v>254</v>
      </c>
      <c r="D66" s="5" t="s">
        <v>253</v>
      </c>
      <c r="E66" s="4"/>
    </row>
    <row r="67" spans="1:5" ht="20.149999999999999" customHeight="1" x14ac:dyDescent="0.25"/>
    <row r="68" spans="1:5" ht="20.149999999999999" customHeight="1" x14ac:dyDescent="0.25">
      <c r="A68" s="103" t="s">
        <v>255</v>
      </c>
      <c r="B68" s="104"/>
      <c r="C68" s="104"/>
      <c r="D68" s="104"/>
      <c r="E68" s="105"/>
    </row>
    <row r="69" spans="1:5" ht="20.149999999999999" customHeight="1" x14ac:dyDescent="0.25">
      <c r="A69" s="2" t="s">
        <v>168</v>
      </c>
      <c r="B69" s="2" t="s">
        <v>169</v>
      </c>
      <c r="C69" s="2" t="s">
        <v>170</v>
      </c>
      <c r="D69" s="3" t="s">
        <v>171</v>
      </c>
      <c r="E69" s="2"/>
    </row>
    <row r="70" spans="1:5" ht="20.149999999999999" customHeight="1" x14ac:dyDescent="0.25">
      <c r="A70" s="2">
        <v>601</v>
      </c>
      <c r="B70" s="2">
        <v>8</v>
      </c>
      <c r="C70" s="2" t="s">
        <v>256</v>
      </c>
      <c r="D70" s="5" t="s">
        <v>255</v>
      </c>
      <c r="E70" s="4"/>
    </row>
    <row r="71" spans="1:5" ht="20.149999999999999" customHeight="1" x14ac:dyDescent="0.25"/>
    <row r="72" spans="1:5" ht="20.149999999999999" customHeight="1" x14ac:dyDescent="0.25">
      <c r="A72" s="103" t="s">
        <v>257</v>
      </c>
      <c r="B72" s="104"/>
      <c r="C72" s="104"/>
      <c r="D72" s="104"/>
      <c r="E72" s="105"/>
    </row>
    <row r="73" spans="1:5" ht="20.149999999999999" customHeight="1" x14ac:dyDescent="0.25">
      <c r="A73" s="2" t="s">
        <v>168</v>
      </c>
      <c r="B73" s="2" t="s">
        <v>169</v>
      </c>
      <c r="C73" s="2" t="s">
        <v>170</v>
      </c>
      <c r="D73" s="3" t="s">
        <v>171</v>
      </c>
      <c r="E73" s="2"/>
    </row>
    <row r="74" spans="1:5" ht="20.149999999999999" customHeight="1" x14ac:dyDescent="0.25">
      <c r="A74" s="2">
        <v>601</v>
      </c>
      <c r="B74" s="2">
        <v>8</v>
      </c>
      <c r="C74" s="2" t="s">
        <v>258</v>
      </c>
      <c r="D74" s="5" t="s">
        <v>257</v>
      </c>
      <c r="E74" s="4"/>
    </row>
    <row r="75" spans="1:5" ht="20.149999999999999" customHeight="1" x14ac:dyDescent="0.25"/>
    <row r="76" spans="1:5" ht="20.149999999999999" customHeight="1" x14ac:dyDescent="0.25">
      <c r="A76" s="103" t="s">
        <v>259</v>
      </c>
      <c r="B76" s="104"/>
      <c r="C76" s="104"/>
      <c r="D76" s="104"/>
      <c r="E76" s="105"/>
    </row>
    <row r="77" spans="1:5" ht="20.149999999999999" customHeight="1" x14ac:dyDescent="0.25">
      <c r="A77" s="2" t="s">
        <v>168</v>
      </c>
      <c r="B77" s="2" t="s">
        <v>169</v>
      </c>
      <c r="C77" s="2" t="s">
        <v>170</v>
      </c>
      <c r="D77" s="3" t="s">
        <v>171</v>
      </c>
      <c r="E77" s="2"/>
    </row>
    <row r="78" spans="1:5" ht="20.149999999999999" customHeight="1" x14ac:dyDescent="0.25">
      <c r="A78" s="2">
        <v>601</v>
      </c>
      <c r="B78" s="2">
        <v>8</v>
      </c>
      <c r="C78" s="2" t="s">
        <v>260</v>
      </c>
      <c r="D78" s="5" t="s">
        <v>259</v>
      </c>
      <c r="E78" s="4"/>
    </row>
    <row r="79" spans="1:5" ht="20.149999999999999" customHeight="1" x14ac:dyDescent="0.25"/>
    <row r="80" spans="1:5" ht="20.149999999999999" customHeight="1" x14ac:dyDescent="0.25">
      <c r="A80" s="103" t="s">
        <v>261</v>
      </c>
      <c r="B80" s="104"/>
      <c r="C80" s="104"/>
      <c r="D80" s="104"/>
      <c r="E80" s="105"/>
    </row>
    <row r="81" spans="1:5" ht="20.149999999999999" customHeight="1" x14ac:dyDescent="0.25">
      <c r="A81" s="2" t="s">
        <v>168</v>
      </c>
      <c r="B81" s="2" t="s">
        <v>169</v>
      </c>
      <c r="C81" s="2" t="s">
        <v>170</v>
      </c>
      <c r="D81" s="3" t="s">
        <v>171</v>
      </c>
      <c r="E81" s="2"/>
    </row>
    <row r="82" spans="1:5" ht="20.149999999999999" customHeight="1" x14ac:dyDescent="0.25">
      <c r="A82" s="2">
        <v>601</v>
      </c>
      <c r="B82" s="2">
        <v>8</v>
      </c>
      <c r="C82" s="2" t="s">
        <v>262</v>
      </c>
      <c r="D82" s="5" t="s">
        <v>261</v>
      </c>
      <c r="E82" s="4"/>
    </row>
    <row r="83" spans="1:5" ht="20.149999999999999" customHeight="1" x14ac:dyDescent="0.25"/>
    <row r="84" spans="1:5" ht="20.149999999999999" customHeight="1" x14ac:dyDescent="0.25">
      <c r="A84" s="103" t="s">
        <v>263</v>
      </c>
      <c r="B84" s="104"/>
      <c r="C84" s="104"/>
      <c r="D84" s="104"/>
      <c r="E84" s="105"/>
    </row>
    <row r="85" spans="1:5" ht="20.149999999999999" customHeight="1" x14ac:dyDescent="0.25">
      <c r="A85" s="2" t="s">
        <v>168</v>
      </c>
      <c r="B85" s="2" t="s">
        <v>169</v>
      </c>
      <c r="C85" s="2" t="s">
        <v>170</v>
      </c>
      <c r="D85" s="3" t="s">
        <v>171</v>
      </c>
      <c r="E85" s="2"/>
    </row>
    <row r="86" spans="1:5" ht="20.149999999999999" customHeight="1" x14ac:dyDescent="0.25">
      <c r="A86" s="2">
        <v>601</v>
      </c>
      <c r="B86" s="2">
        <v>8</v>
      </c>
      <c r="C86" s="2" t="s">
        <v>264</v>
      </c>
      <c r="D86" s="5" t="s">
        <v>263</v>
      </c>
      <c r="E86" s="4"/>
    </row>
    <row r="87" spans="1:5" ht="20.149999999999999" customHeight="1" x14ac:dyDescent="0.25"/>
    <row r="88" spans="1:5" ht="20.149999999999999" customHeight="1" x14ac:dyDescent="0.25">
      <c r="A88" s="103" t="s">
        <v>265</v>
      </c>
      <c r="B88" s="104"/>
      <c r="C88" s="104"/>
      <c r="D88" s="104"/>
      <c r="E88" s="105"/>
    </row>
    <row r="89" spans="1:5" ht="20.149999999999999" customHeight="1" x14ac:dyDescent="0.25">
      <c r="A89" s="2" t="s">
        <v>168</v>
      </c>
      <c r="B89" s="2" t="s">
        <v>169</v>
      </c>
      <c r="C89" s="2" t="s">
        <v>170</v>
      </c>
      <c r="D89" s="3" t="s">
        <v>171</v>
      </c>
      <c r="E89" s="2"/>
    </row>
    <row r="90" spans="1:5" ht="20.149999999999999" customHeight="1" x14ac:dyDescent="0.25">
      <c r="A90" s="2">
        <v>601</v>
      </c>
      <c r="B90" s="2">
        <v>8</v>
      </c>
      <c r="C90" s="2" t="s">
        <v>266</v>
      </c>
      <c r="D90" s="5" t="s">
        <v>267</v>
      </c>
      <c r="E90" s="4"/>
    </row>
    <row r="92" spans="1:5" ht="17.5" x14ac:dyDescent="0.25">
      <c r="A92" s="103" t="s">
        <v>268</v>
      </c>
      <c r="B92" s="104"/>
      <c r="C92" s="104"/>
      <c r="D92" s="104"/>
      <c r="E92" s="105"/>
    </row>
    <row r="93" spans="1:5" ht="15.5" x14ac:dyDescent="0.25">
      <c r="A93" s="2" t="s">
        <v>168</v>
      </c>
      <c r="B93" s="2" t="s">
        <v>169</v>
      </c>
      <c r="C93" s="2" t="s">
        <v>170</v>
      </c>
      <c r="D93" s="3" t="s">
        <v>171</v>
      </c>
      <c r="E93" s="2"/>
    </row>
    <row r="94" spans="1:5" ht="15.5" x14ac:dyDescent="0.25">
      <c r="A94" s="2">
        <v>601</v>
      </c>
      <c r="B94" s="2">
        <v>8</v>
      </c>
      <c r="C94" s="2" t="s">
        <v>269</v>
      </c>
      <c r="D94" s="5" t="s">
        <v>270</v>
      </c>
      <c r="E94" s="4" t="s">
        <v>271</v>
      </c>
    </row>
    <row r="96" spans="1:5" ht="17.5" x14ac:dyDescent="0.25">
      <c r="A96" s="103" t="s">
        <v>315</v>
      </c>
      <c r="B96" s="104"/>
      <c r="C96" s="104"/>
      <c r="D96" s="104"/>
      <c r="E96" s="105"/>
    </row>
    <row r="97" spans="1:5" ht="15.5" x14ac:dyDescent="0.25">
      <c r="A97" s="2" t="s">
        <v>168</v>
      </c>
      <c r="B97" s="2" t="s">
        <v>169</v>
      </c>
      <c r="C97" s="2" t="s">
        <v>170</v>
      </c>
      <c r="D97" s="3" t="s">
        <v>171</v>
      </c>
      <c r="E97" s="2"/>
    </row>
    <row r="98" spans="1:5" ht="15.5" x14ac:dyDescent="0.25">
      <c r="A98" s="2">
        <v>601</v>
      </c>
      <c r="B98" s="2">
        <v>8</v>
      </c>
      <c r="C98" s="2" t="s">
        <v>316</v>
      </c>
      <c r="D98" s="5" t="s">
        <v>315</v>
      </c>
      <c r="E98" s="4"/>
    </row>
    <row r="99" spans="1:5" ht="15.5" x14ac:dyDescent="0.25">
      <c r="A99" s="33"/>
      <c r="B99" s="33"/>
      <c r="C99" s="33"/>
      <c r="D99" s="34"/>
      <c r="E99" s="34"/>
    </row>
    <row r="100" spans="1:5" x14ac:dyDescent="0.25">
      <c r="A100" s="1" t="s">
        <v>272</v>
      </c>
    </row>
  </sheetData>
  <mergeCells count="31">
    <mergeCell ref="A96:E96"/>
    <mergeCell ref="A1:E1"/>
    <mergeCell ref="F1:I1"/>
    <mergeCell ref="A2:E2"/>
    <mergeCell ref="F2:I2"/>
    <mergeCell ref="A3:E3"/>
    <mergeCell ref="A8:D8"/>
    <mergeCell ref="A10:D10"/>
    <mergeCell ref="A14:D14"/>
    <mergeCell ref="A17:D17"/>
    <mergeCell ref="A20:E20"/>
    <mergeCell ref="A21:E21"/>
    <mergeCell ref="A26:E26"/>
    <mergeCell ref="A28:E28"/>
    <mergeCell ref="A33:E33"/>
    <mergeCell ref="A34:E34"/>
    <mergeCell ref="A39:E39"/>
    <mergeCell ref="A41:E41"/>
    <mergeCell ref="A44:E44"/>
    <mergeCell ref="A48:E48"/>
    <mergeCell ref="A52:E52"/>
    <mergeCell ref="A56:E56"/>
    <mergeCell ref="A60:E60"/>
    <mergeCell ref="A64:E64"/>
    <mergeCell ref="A68:E68"/>
    <mergeCell ref="A72:E72"/>
    <mergeCell ref="A76:E76"/>
    <mergeCell ref="A80:E80"/>
    <mergeCell ref="A84:E84"/>
    <mergeCell ref="A88:E88"/>
    <mergeCell ref="A92:E92"/>
  </mergeCells>
  <phoneticPr fontId="1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zoomScale="92" zoomScaleNormal="114" workbookViewId="0">
      <selection activeCell="A2" sqref="A2"/>
    </sheetView>
  </sheetViews>
  <sheetFormatPr defaultColWidth="9" defaultRowHeight="14" x14ac:dyDescent="0.25"/>
  <cols>
    <col min="1" max="1" width="9.36328125" customWidth="1"/>
    <col min="2" max="2" width="14.26953125" customWidth="1"/>
    <col min="3" max="3" width="10.7265625" customWidth="1"/>
    <col min="4" max="4" width="24.7265625" customWidth="1"/>
  </cols>
  <sheetData>
    <row r="1" spans="1:4" ht="17.5" x14ac:dyDescent="0.25">
      <c r="A1" s="114" t="s">
        <v>314</v>
      </c>
      <c r="B1" s="115"/>
      <c r="C1" s="115"/>
      <c r="D1" s="116"/>
    </row>
    <row r="2" spans="1:4" s="28" customFormat="1" ht="29.25" customHeight="1" x14ac:dyDescent="0.25">
      <c r="A2" s="31" t="s">
        <v>280</v>
      </c>
      <c r="B2" s="31" t="s">
        <v>281</v>
      </c>
      <c r="C2" s="31" t="s">
        <v>282</v>
      </c>
      <c r="D2" s="31" t="s">
        <v>283</v>
      </c>
    </row>
    <row r="3" spans="1:4" ht="20.149999999999999" customHeight="1" x14ac:dyDescent="0.25">
      <c r="A3" s="30" t="s">
        <v>284</v>
      </c>
      <c r="B3" s="30" t="s">
        <v>285</v>
      </c>
      <c r="C3" s="30" t="s">
        <v>286</v>
      </c>
      <c r="D3" s="30" t="s">
        <v>287</v>
      </c>
    </row>
    <row r="4" spans="1:4" s="24" customFormat="1" ht="20.149999999999999" customHeight="1" x14ac:dyDescent="0.25">
      <c r="A4" s="29" t="s">
        <v>288</v>
      </c>
      <c r="B4" s="29" t="s">
        <v>289</v>
      </c>
      <c r="C4" s="29" t="s">
        <v>308</v>
      </c>
      <c r="D4" s="25" t="s">
        <v>290</v>
      </c>
    </row>
    <row r="5" spans="1:4" s="23" customFormat="1" ht="20.149999999999999" customHeight="1" x14ac:dyDescent="0.25">
      <c r="A5" s="29" t="s">
        <v>291</v>
      </c>
      <c r="B5" s="29" t="s">
        <v>292</v>
      </c>
      <c r="C5" s="29" t="s">
        <v>293</v>
      </c>
      <c r="D5" s="25" t="s">
        <v>294</v>
      </c>
    </row>
    <row r="6" spans="1:4" s="23" customFormat="1" ht="20.149999999999999" customHeight="1" x14ac:dyDescent="0.25">
      <c r="A6" s="29" t="s">
        <v>297</v>
      </c>
      <c r="B6" s="117" t="s">
        <v>304</v>
      </c>
      <c r="C6" s="117" t="s">
        <v>306</v>
      </c>
      <c r="D6" s="117" t="s">
        <v>307</v>
      </c>
    </row>
    <row r="7" spans="1:4" ht="20.149999999999999" customHeight="1" x14ac:dyDescent="0.25">
      <c r="A7" s="29" t="s">
        <v>298</v>
      </c>
      <c r="B7" s="117"/>
      <c r="C7" s="117"/>
      <c r="D7" s="117"/>
    </row>
    <row r="8" spans="1:4" ht="20.149999999999999" customHeight="1" x14ac:dyDescent="0.25">
      <c r="A8" s="29" t="s">
        <v>299</v>
      </c>
      <c r="B8" s="29" t="s">
        <v>305</v>
      </c>
      <c r="C8" s="29" t="s">
        <v>293</v>
      </c>
      <c r="D8" s="117"/>
    </row>
    <row r="9" spans="1:4" ht="20.149999999999999" customHeight="1" x14ac:dyDescent="0.25">
      <c r="A9" s="29" t="s">
        <v>300</v>
      </c>
      <c r="B9" s="117" t="s">
        <v>310</v>
      </c>
      <c r="C9" s="117" t="s">
        <v>306</v>
      </c>
      <c r="D9" s="118" t="s">
        <v>309</v>
      </c>
    </row>
    <row r="10" spans="1:4" ht="20.149999999999999" customHeight="1" x14ac:dyDescent="0.25">
      <c r="A10" s="29" t="s">
        <v>301</v>
      </c>
      <c r="B10" s="117"/>
      <c r="C10" s="117"/>
      <c r="D10" s="117"/>
    </row>
    <row r="11" spans="1:4" ht="20.149999999999999" customHeight="1" x14ac:dyDescent="0.25">
      <c r="A11" s="29" t="s">
        <v>302</v>
      </c>
      <c r="B11" s="117"/>
      <c r="C11" s="117"/>
      <c r="D11" s="117"/>
    </row>
    <row r="12" spans="1:4" ht="20.149999999999999" customHeight="1" x14ac:dyDescent="0.25">
      <c r="A12" s="29" t="s">
        <v>303</v>
      </c>
      <c r="B12" s="117"/>
      <c r="C12" s="117"/>
      <c r="D12" s="117"/>
    </row>
  </sheetData>
  <mergeCells count="7">
    <mergeCell ref="A1:D1"/>
    <mergeCell ref="B6:B7"/>
    <mergeCell ref="C6:C7"/>
    <mergeCell ref="D6:D8"/>
    <mergeCell ref="C9:C12"/>
    <mergeCell ref="B9:B12"/>
    <mergeCell ref="D9:D12"/>
  </mergeCells>
  <phoneticPr fontId="10" type="noConversion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FC02-E322-4C37-BDBB-419536D2F628}">
  <dimension ref="A1:O110"/>
  <sheetViews>
    <sheetView tabSelected="1" topLeftCell="F49" zoomScale="76" workbookViewId="0">
      <selection activeCell="M60" sqref="M60"/>
    </sheetView>
  </sheetViews>
  <sheetFormatPr defaultRowHeight="17.5" x14ac:dyDescent="0.25"/>
  <cols>
    <col min="1" max="1" width="5" customWidth="1"/>
    <col min="2" max="2" width="10.36328125" customWidth="1"/>
    <col min="3" max="3" width="18.453125" style="23" customWidth="1"/>
    <col min="4" max="4" width="7.453125" customWidth="1"/>
    <col min="5" max="5" width="51.08984375" style="23" customWidth="1"/>
    <col min="6" max="6" width="9" style="24"/>
    <col min="7" max="7" width="35.36328125" style="24" customWidth="1"/>
    <col min="8" max="8" width="12.36328125" customWidth="1"/>
    <col min="9" max="9" width="31.7265625" customWidth="1"/>
    <col min="11" max="11" width="37.26953125" customWidth="1"/>
    <col min="13" max="13" width="35.90625" customWidth="1"/>
    <col min="14" max="14" width="9" customWidth="1"/>
    <col min="15" max="15" width="31.6328125" customWidth="1"/>
  </cols>
  <sheetData>
    <row r="1" spans="1:12" ht="27.75" customHeight="1" x14ac:dyDescent="0.25">
      <c r="A1" s="47" t="s">
        <v>408</v>
      </c>
      <c r="B1" s="48"/>
      <c r="C1" s="49"/>
      <c r="D1" s="48"/>
      <c r="E1" s="49"/>
    </row>
    <row r="2" spans="1:12" ht="34.5" customHeight="1" x14ac:dyDescent="0.25">
      <c r="A2" s="89" t="s">
        <v>337</v>
      </c>
      <c r="B2" s="89"/>
      <c r="C2" s="89"/>
      <c r="D2" s="89"/>
      <c r="E2" s="89"/>
    </row>
    <row r="3" spans="1:12" ht="69.75" customHeight="1" x14ac:dyDescent="0.25">
      <c r="A3" s="90" t="s">
        <v>411</v>
      </c>
      <c r="B3" s="90"/>
      <c r="C3" s="90"/>
      <c r="D3" s="90"/>
      <c r="E3" s="90"/>
      <c r="F3" s="54"/>
      <c r="G3" s="54"/>
      <c r="H3" s="44"/>
      <c r="I3" s="44"/>
      <c r="J3" s="44"/>
      <c r="K3" s="44"/>
      <c r="L3" s="44"/>
    </row>
    <row r="4" spans="1:12" ht="25" customHeight="1" x14ac:dyDescent="0.25">
      <c r="A4" s="81" t="s">
        <v>317</v>
      </c>
      <c r="B4" s="82"/>
      <c r="C4" s="82"/>
      <c r="D4" s="82"/>
      <c r="E4" s="83"/>
    </row>
    <row r="5" spans="1:12" ht="25" customHeight="1" x14ac:dyDescent="0.25">
      <c r="A5" s="84" t="s">
        <v>280</v>
      </c>
      <c r="B5" s="85"/>
      <c r="C5" s="43" t="s">
        <v>281</v>
      </c>
      <c r="D5" s="37" t="s">
        <v>318</v>
      </c>
      <c r="E5" s="43" t="s">
        <v>319</v>
      </c>
    </row>
    <row r="6" spans="1:12" ht="25" customHeight="1" x14ac:dyDescent="0.25">
      <c r="A6" s="79" t="s">
        <v>284</v>
      </c>
      <c r="B6" s="80"/>
      <c r="C6" s="40" t="s">
        <v>285</v>
      </c>
      <c r="D6" s="38" t="s">
        <v>286</v>
      </c>
      <c r="E6" s="40" t="s">
        <v>320</v>
      </c>
    </row>
    <row r="7" spans="1:12" ht="25" customHeight="1" x14ac:dyDescent="0.25">
      <c r="A7" s="79" t="s">
        <v>288</v>
      </c>
      <c r="B7" s="80"/>
      <c r="C7" s="40" t="s">
        <v>289</v>
      </c>
      <c r="D7" s="38"/>
      <c r="E7" s="40">
        <v>12</v>
      </c>
    </row>
    <row r="8" spans="1:12" ht="25" customHeight="1" x14ac:dyDescent="0.25">
      <c r="A8" s="79" t="s">
        <v>291</v>
      </c>
      <c r="B8" s="80"/>
      <c r="C8" s="88" t="s">
        <v>322</v>
      </c>
      <c r="D8" s="74" t="s">
        <v>293</v>
      </c>
      <c r="E8" s="88" t="s">
        <v>321</v>
      </c>
    </row>
    <row r="9" spans="1:12" ht="25" customHeight="1" x14ac:dyDescent="0.25">
      <c r="A9" s="79" t="s">
        <v>297</v>
      </c>
      <c r="B9" s="80"/>
      <c r="C9" s="88"/>
      <c r="D9" s="74"/>
      <c r="E9" s="88"/>
    </row>
    <row r="10" spans="1:12" ht="25" customHeight="1" x14ac:dyDescent="0.25">
      <c r="A10" s="79" t="s">
        <v>298</v>
      </c>
      <c r="B10" s="80"/>
      <c r="C10" s="88" t="s">
        <v>323</v>
      </c>
      <c r="D10" s="74" t="s">
        <v>293</v>
      </c>
      <c r="E10" s="77" t="s">
        <v>365</v>
      </c>
    </row>
    <row r="11" spans="1:12" ht="25" customHeight="1" x14ac:dyDescent="0.25">
      <c r="A11" s="79" t="s">
        <v>299</v>
      </c>
      <c r="B11" s="80"/>
      <c r="C11" s="88"/>
      <c r="D11" s="74"/>
      <c r="E11" s="78"/>
    </row>
    <row r="12" spans="1:12" ht="25" customHeight="1" x14ac:dyDescent="0.25">
      <c r="A12" s="79" t="s">
        <v>300</v>
      </c>
      <c r="B12" s="80"/>
      <c r="C12" s="88" t="s">
        <v>324</v>
      </c>
      <c r="D12" s="74" t="s">
        <v>293</v>
      </c>
      <c r="E12" s="77" t="s">
        <v>366</v>
      </c>
    </row>
    <row r="13" spans="1:12" ht="25" customHeight="1" x14ac:dyDescent="0.25">
      <c r="A13" s="79" t="s">
        <v>301</v>
      </c>
      <c r="B13" s="80"/>
      <c r="C13" s="88"/>
      <c r="D13" s="74"/>
      <c r="E13" s="78"/>
    </row>
    <row r="14" spans="1:12" ht="25" customHeight="1" x14ac:dyDescent="0.25">
      <c r="A14" s="79" t="s">
        <v>302</v>
      </c>
      <c r="B14" s="80"/>
      <c r="C14" s="74" t="s">
        <v>325</v>
      </c>
      <c r="D14" s="74" t="s">
        <v>293</v>
      </c>
      <c r="E14" s="77" t="s">
        <v>338</v>
      </c>
    </row>
    <row r="15" spans="1:12" ht="25" customHeight="1" x14ac:dyDescent="0.25">
      <c r="A15" s="79" t="s">
        <v>303</v>
      </c>
      <c r="B15" s="80"/>
      <c r="C15" s="74"/>
      <c r="D15" s="74"/>
      <c r="E15" s="78"/>
    </row>
    <row r="16" spans="1:12" ht="25" customHeight="1" x14ac:dyDescent="0.25">
      <c r="A16" s="79" t="s">
        <v>327</v>
      </c>
      <c r="B16" s="80"/>
      <c r="C16" s="88" t="s">
        <v>326</v>
      </c>
      <c r="D16" s="74" t="s">
        <v>293</v>
      </c>
      <c r="E16" s="77" t="s">
        <v>339</v>
      </c>
    </row>
    <row r="17" spans="1:15" ht="25" customHeight="1" x14ac:dyDescent="0.25">
      <c r="A17" s="79" t="s">
        <v>328</v>
      </c>
      <c r="B17" s="80"/>
      <c r="C17" s="88"/>
      <c r="D17" s="74"/>
      <c r="E17" s="78"/>
    </row>
    <row r="18" spans="1:15" ht="48" customHeight="1" x14ac:dyDescent="0.25">
      <c r="A18" s="79" t="s">
        <v>329</v>
      </c>
      <c r="B18" s="80"/>
      <c r="C18" s="40" t="s">
        <v>358</v>
      </c>
      <c r="D18" s="38" t="s">
        <v>331</v>
      </c>
      <c r="E18" s="39" t="s">
        <v>362</v>
      </c>
    </row>
    <row r="19" spans="1:15" ht="25" customHeight="1" x14ac:dyDescent="0.25">
      <c r="A19" s="74" t="s">
        <v>330</v>
      </c>
      <c r="B19" s="38" t="s">
        <v>347</v>
      </c>
      <c r="C19" s="40" t="s">
        <v>333</v>
      </c>
      <c r="D19" s="38" t="s">
        <v>334</v>
      </c>
      <c r="E19" s="40" t="s">
        <v>340</v>
      </c>
    </row>
    <row r="20" spans="1:15" ht="25" customHeight="1" x14ac:dyDescent="0.25">
      <c r="A20" s="74"/>
      <c r="B20" s="42" t="s">
        <v>348</v>
      </c>
      <c r="C20" s="40" t="s">
        <v>335</v>
      </c>
      <c r="D20" s="38" t="s">
        <v>334</v>
      </c>
      <c r="E20" s="40" t="s">
        <v>341</v>
      </c>
    </row>
    <row r="21" spans="1:15" ht="25" customHeight="1" x14ac:dyDescent="0.25">
      <c r="A21" s="74"/>
      <c r="B21" s="42" t="s">
        <v>349</v>
      </c>
      <c r="C21" s="40" t="s">
        <v>336</v>
      </c>
      <c r="D21" s="38" t="s">
        <v>334</v>
      </c>
      <c r="E21" s="40" t="s">
        <v>342</v>
      </c>
    </row>
    <row r="22" spans="1:15" ht="25" customHeight="1" x14ac:dyDescent="0.25">
      <c r="A22" s="74"/>
      <c r="B22" s="38" t="s">
        <v>350</v>
      </c>
      <c r="C22" s="40" t="s">
        <v>355</v>
      </c>
      <c r="D22" s="38" t="s">
        <v>334</v>
      </c>
      <c r="E22" s="40" t="s">
        <v>343</v>
      </c>
    </row>
    <row r="23" spans="1:15" ht="25" customHeight="1" x14ac:dyDescent="0.25">
      <c r="A23" s="40"/>
      <c r="B23" s="38" t="s">
        <v>351</v>
      </c>
      <c r="C23" s="40" t="s">
        <v>346</v>
      </c>
      <c r="D23" s="38"/>
      <c r="E23" s="41"/>
    </row>
    <row r="24" spans="1:15" ht="29.25" customHeight="1" x14ac:dyDescent="0.25"/>
    <row r="25" spans="1:15" ht="20.149999999999999" customHeight="1" x14ac:dyDescent="0.25">
      <c r="A25" s="35" t="s">
        <v>344</v>
      </c>
      <c r="G25" s="24" t="s">
        <v>479</v>
      </c>
      <c r="H25" s="72" t="s">
        <v>482</v>
      </c>
      <c r="I25" s="73"/>
    </row>
    <row r="26" spans="1:15" s="57" customFormat="1" ht="20.149999999999999" customHeight="1" x14ac:dyDescent="0.25">
      <c r="A26" s="56" t="s">
        <v>410</v>
      </c>
      <c r="C26" s="17"/>
      <c r="E26" s="17"/>
      <c r="F26" s="58"/>
      <c r="G26" s="58" t="s">
        <v>516</v>
      </c>
      <c r="H26" s="71" t="s">
        <v>481</v>
      </c>
      <c r="I26" s="71"/>
      <c r="J26" s="59" t="s">
        <v>483</v>
      </c>
      <c r="K26" s="59" t="s">
        <v>483</v>
      </c>
    </row>
    <row r="27" spans="1:15" ht="20.149999999999999" customHeight="1" x14ac:dyDescent="0.25">
      <c r="A27" s="81" t="s">
        <v>345</v>
      </c>
      <c r="B27" s="82"/>
      <c r="C27" s="82"/>
      <c r="D27" s="82"/>
      <c r="E27" s="83"/>
      <c r="F27" s="102" t="s">
        <v>457</v>
      </c>
      <c r="G27" s="102"/>
    </row>
    <row r="28" spans="1:15" ht="49.5" customHeight="1" x14ac:dyDescent="0.25">
      <c r="A28" s="84" t="s">
        <v>280</v>
      </c>
      <c r="B28" s="85"/>
      <c r="C28" s="43" t="s">
        <v>281</v>
      </c>
      <c r="D28" s="37" t="s">
        <v>318</v>
      </c>
      <c r="E28" s="43" t="s">
        <v>319</v>
      </c>
      <c r="F28" s="88" t="s">
        <v>447</v>
      </c>
      <c r="G28" s="88"/>
      <c r="H28" s="88" t="s">
        <v>466</v>
      </c>
      <c r="I28" s="88"/>
      <c r="J28" s="88" t="s">
        <v>467</v>
      </c>
      <c r="K28" s="88"/>
      <c r="L28" s="88" t="s">
        <v>474</v>
      </c>
      <c r="M28" s="88"/>
      <c r="N28" s="88" t="s">
        <v>477</v>
      </c>
      <c r="O28" s="88"/>
    </row>
    <row r="29" spans="1:15" ht="20.149999999999999" customHeight="1" x14ac:dyDescent="0.25">
      <c r="A29" s="79" t="s">
        <v>284</v>
      </c>
      <c r="B29" s="80"/>
      <c r="C29" s="40" t="s">
        <v>285</v>
      </c>
      <c r="D29" s="38" t="s">
        <v>286</v>
      </c>
      <c r="E29" s="40" t="s">
        <v>352</v>
      </c>
      <c r="F29" s="55" t="s">
        <v>458</v>
      </c>
      <c r="G29" s="55"/>
      <c r="H29" s="55" t="s">
        <v>458</v>
      </c>
      <c r="I29" s="55"/>
      <c r="J29" s="55" t="s">
        <v>458</v>
      </c>
      <c r="K29" s="55"/>
      <c r="L29" s="55" t="s">
        <v>458</v>
      </c>
      <c r="M29" s="55"/>
      <c r="N29" s="55" t="s">
        <v>458</v>
      </c>
      <c r="O29" s="55"/>
    </row>
    <row r="30" spans="1:15" ht="20.149999999999999" customHeight="1" x14ac:dyDescent="0.25">
      <c r="A30" s="79" t="s">
        <v>288</v>
      </c>
      <c r="B30" s="80"/>
      <c r="C30" s="40" t="s">
        <v>289</v>
      </c>
      <c r="D30" s="38"/>
      <c r="E30" s="40">
        <v>7</v>
      </c>
      <c r="F30" s="55">
        <v>7</v>
      </c>
      <c r="G30" s="55"/>
      <c r="H30" s="55">
        <v>7</v>
      </c>
      <c r="I30" s="55"/>
      <c r="J30" s="55">
        <v>7</v>
      </c>
      <c r="K30" s="55"/>
      <c r="L30" s="55">
        <v>7</v>
      </c>
      <c r="M30" s="55"/>
      <c r="N30" s="55">
        <v>7</v>
      </c>
      <c r="O30" s="55"/>
    </row>
    <row r="31" spans="1:15" ht="20.149999999999999" customHeight="1" x14ac:dyDescent="0.25">
      <c r="A31" s="74" t="s">
        <v>291</v>
      </c>
      <c r="B31" s="38" t="s">
        <v>347</v>
      </c>
      <c r="C31" s="39" t="s">
        <v>353</v>
      </c>
      <c r="D31" s="38" t="s">
        <v>334</v>
      </c>
      <c r="E31" s="40" t="s">
        <v>340</v>
      </c>
      <c r="F31" s="55">
        <v>1</v>
      </c>
      <c r="G31" s="55" t="s">
        <v>449</v>
      </c>
      <c r="H31" s="55">
        <v>1</v>
      </c>
      <c r="I31" s="55" t="s">
        <v>449</v>
      </c>
      <c r="J31" s="55">
        <v>1</v>
      </c>
      <c r="K31" s="55" t="s">
        <v>449</v>
      </c>
      <c r="L31" s="55">
        <v>1</v>
      </c>
      <c r="M31" s="55" t="s">
        <v>449</v>
      </c>
      <c r="N31" s="55">
        <v>1</v>
      </c>
      <c r="O31" s="55" t="s">
        <v>449</v>
      </c>
    </row>
    <row r="32" spans="1:15" ht="20.149999999999999" customHeight="1" x14ac:dyDescent="0.25">
      <c r="A32" s="74"/>
      <c r="B32" s="38" t="s">
        <v>348</v>
      </c>
      <c r="C32" s="39" t="s">
        <v>354</v>
      </c>
      <c r="D32" s="38" t="s">
        <v>334</v>
      </c>
      <c r="E32" s="40" t="s">
        <v>341</v>
      </c>
      <c r="F32" s="55">
        <v>1</v>
      </c>
      <c r="G32" s="55" t="s">
        <v>450</v>
      </c>
      <c r="H32" s="55">
        <v>1</v>
      </c>
      <c r="I32" s="55" t="s">
        <v>450</v>
      </c>
      <c r="J32" s="55">
        <v>1</v>
      </c>
      <c r="K32" s="55" t="s">
        <v>450</v>
      </c>
      <c r="L32" s="55">
        <v>1</v>
      </c>
      <c r="M32" s="55" t="s">
        <v>450</v>
      </c>
      <c r="N32" s="55">
        <v>1</v>
      </c>
      <c r="O32" s="55" t="s">
        <v>450</v>
      </c>
    </row>
    <row r="33" spans="1:15" ht="20.149999999999999" customHeight="1" x14ac:dyDescent="0.25">
      <c r="A33" s="74"/>
      <c r="B33" s="38" t="s">
        <v>349</v>
      </c>
      <c r="C33" s="39" t="s">
        <v>356</v>
      </c>
      <c r="D33" s="38" t="s">
        <v>334</v>
      </c>
      <c r="E33" s="40" t="s">
        <v>357</v>
      </c>
      <c r="F33" s="55">
        <v>0</v>
      </c>
      <c r="G33" s="55" t="s">
        <v>451</v>
      </c>
      <c r="H33" s="55">
        <v>0</v>
      </c>
      <c r="I33" s="55" t="s">
        <v>451</v>
      </c>
      <c r="J33" s="55">
        <v>0</v>
      </c>
      <c r="K33" s="55" t="s">
        <v>451</v>
      </c>
      <c r="L33" s="55">
        <v>0</v>
      </c>
      <c r="M33" s="55" t="s">
        <v>451</v>
      </c>
      <c r="N33" s="55">
        <v>0</v>
      </c>
      <c r="O33" s="55" t="s">
        <v>451</v>
      </c>
    </row>
    <row r="34" spans="1:15" ht="45" customHeight="1" x14ac:dyDescent="0.25">
      <c r="A34" s="74"/>
      <c r="B34" s="38" t="s">
        <v>360</v>
      </c>
      <c r="C34" s="39" t="s">
        <v>359</v>
      </c>
      <c r="D34" s="38" t="s">
        <v>361</v>
      </c>
      <c r="E34" s="39" t="s">
        <v>362</v>
      </c>
      <c r="F34" s="55">
        <v>1</v>
      </c>
      <c r="G34" s="55" t="s">
        <v>452</v>
      </c>
      <c r="H34" s="55">
        <v>1</v>
      </c>
      <c r="I34" s="55" t="s">
        <v>452</v>
      </c>
      <c r="J34" s="55">
        <v>1</v>
      </c>
      <c r="K34" s="55" t="s">
        <v>452</v>
      </c>
      <c r="L34" s="55">
        <v>2</v>
      </c>
      <c r="M34" s="55" t="s">
        <v>470</v>
      </c>
      <c r="N34" s="55">
        <v>5</v>
      </c>
      <c r="O34" s="55" t="s">
        <v>475</v>
      </c>
    </row>
    <row r="35" spans="1:15" ht="45" customHeight="1" x14ac:dyDescent="0.25">
      <c r="A35" s="74"/>
      <c r="B35" s="38" t="s">
        <v>332</v>
      </c>
      <c r="C35" s="39" t="s">
        <v>346</v>
      </c>
      <c r="D35" s="38"/>
      <c r="E35" s="15"/>
      <c r="F35" s="55">
        <v>0</v>
      </c>
      <c r="G35" s="55"/>
      <c r="H35" s="55">
        <v>0</v>
      </c>
      <c r="I35" s="55"/>
      <c r="J35" s="55">
        <v>0</v>
      </c>
      <c r="K35" s="55"/>
      <c r="L35" s="55">
        <v>0</v>
      </c>
      <c r="M35" s="55"/>
      <c r="N35" s="55">
        <v>0</v>
      </c>
      <c r="O35" s="55"/>
    </row>
    <row r="36" spans="1:15" ht="70.5" customHeight="1" x14ac:dyDescent="0.25">
      <c r="A36" s="79" t="s">
        <v>297</v>
      </c>
      <c r="B36" s="80"/>
      <c r="C36" s="88" t="s">
        <v>363</v>
      </c>
      <c r="D36" s="74" t="s">
        <v>293</v>
      </c>
      <c r="E36" s="86" t="s">
        <v>367</v>
      </c>
      <c r="F36" s="101" t="s">
        <v>448</v>
      </c>
      <c r="G36" s="101" t="s">
        <v>460</v>
      </c>
      <c r="H36" s="101" t="s">
        <v>462</v>
      </c>
      <c r="I36" s="101" t="s">
        <v>459</v>
      </c>
      <c r="J36" s="101" t="s">
        <v>469</v>
      </c>
      <c r="K36" s="101" t="s">
        <v>468</v>
      </c>
      <c r="L36" s="101" t="s">
        <v>471</v>
      </c>
      <c r="M36" s="101" t="s">
        <v>473</v>
      </c>
      <c r="N36" s="101" t="s">
        <v>463</v>
      </c>
      <c r="O36" s="101" t="s">
        <v>476</v>
      </c>
    </row>
    <row r="37" spans="1:15" ht="70.5" customHeight="1" x14ac:dyDescent="0.25">
      <c r="A37" s="79" t="s">
        <v>298</v>
      </c>
      <c r="B37" s="80"/>
      <c r="C37" s="88"/>
      <c r="D37" s="74"/>
      <c r="E37" s="87"/>
      <c r="F37" s="101"/>
      <c r="G37" s="101"/>
      <c r="H37" s="101"/>
      <c r="I37" s="101"/>
      <c r="J37" s="101"/>
      <c r="K37" s="101"/>
      <c r="L37" s="101"/>
      <c r="M37" s="101"/>
      <c r="N37" s="101"/>
      <c r="O37" s="101"/>
    </row>
    <row r="38" spans="1:15" ht="30.75" customHeight="1" x14ac:dyDescent="0.25">
      <c r="A38" s="79" t="s">
        <v>299</v>
      </c>
      <c r="B38" s="80"/>
      <c r="C38" s="88" t="s">
        <v>364</v>
      </c>
      <c r="D38" s="74" t="s">
        <v>293</v>
      </c>
      <c r="E38" s="86" t="s">
        <v>369</v>
      </c>
      <c r="F38" s="101" t="s">
        <v>454</v>
      </c>
      <c r="G38" s="101" t="s">
        <v>453</v>
      </c>
      <c r="H38" s="101" t="s">
        <v>463</v>
      </c>
      <c r="I38" s="101" t="s">
        <v>461</v>
      </c>
      <c r="J38" s="101" t="s">
        <v>463</v>
      </c>
      <c r="K38" s="101" t="s">
        <v>461</v>
      </c>
      <c r="L38" s="101" t="s">
        <v>463</v>
      </c>
      <c r="M38" s="101" t="s">
        <v>461</v>
      </c>
      <c r="N38" s="101" t="s">
        <v>448</v>
      </c>
      <c r="O38" s="101" t="s">
        <v>472</v>
      </c>
    </row>
    <row r="39" spans="1:15" ht="29.25" customHeight="1" x14ac:dyDescent="0.25">
      <c r="A39" s="79" t="s">
        <v>300</v>
      </c>
      <c r="B39" s="80"/>
      <c r="C39" s="88"/>
      <c r="D39" s="74"/>
      <c r="E39" s="87"/>
      <c r="F39" s="101"/>
      <c r="G39" s="101"/>
      <c r="H39" s="101"/>
      <c r="I39" s="101"/>
      <c r="J39" s="101"/>
      <c r="K39" s="101"/>
      <c r="L39" s="101"/>
      <c r="M39" s="101"/>
      <c r="N39" s="101"/>
      <c r="O39" s="101"/>
    </row>
    <row r="40" spans="1:15" ht="37.5" customHeight="1" x14ac:dyDescent="0.25">
      <c r="A40" s="79" t="s">
        <v>301</v>
      </c>
      <c r="B40" s="80"/>
      <c r="C40" s="74" t="s">
        <v>368</v>
      </c>
      <c r="D40" s="74" t="s">
        <v>293</v>
      </c>
      <c r="E40" s="86" t="s">
        <v>412</v>
      </c>
      <c r="F40" s="101" t="s">
        <v>456</v>
      </c>
      <c r="G40" s="101" t="s">
        <v>455</v>
      </c>
      <c r="H40" s="101" t="s">
        <v>464</v>
      </c>
      <c r="I40" s="101" t="s">
        <v>465</v>
      </c>
      <c r="J40" s="101" t="s">
        <v>464</v>
      </c>
      <c r="K40" s="101" t="s">
        <v>465</v>
      </c>
      <c r="L40" s="101" t="s">
        <v>448</v>
      </c>
      <c r="M40" s="101" t="s">
        <v>472</v>
      </c>
      <c r="N40" s="101" t="s">
        <v>448</v>
      </c>
      <c r="O40" s="101" t="s">
        <v>472</v>
      </c>
    </row>
    <row r="41" spans="1:15" ht="32.25" customHeight="1" x14ac:dyDescent="0.25">
      <c r="A41" s="79" t="s">
        <v>302</v>
      </c>
      <c r="B41" s="80"/>
      <c r="C41" s="74"/>
      <c r="D41" s="74"/>
      <c r="E41" s="87"/>
      <c r="F41" s="101"/>
      <c r="G41" s="101"/>
      <c r="H41" s="101"/>
      <c r="I41" s="101"/>
      <c r="J41" s="101"/>
      <c r="K41" s="101"/>
      <c r="L41" s="101"/>
      <c r="M41" s="101"/>
      <c r="N41" s="101"/>
      <c r="O41" s="101"/>
    </row>
    <row r="43" spans="1:15" ht="25" customHeight="1" x14ac:dyDescent="0.25">
      <c r="A43" s="35" t="s">
        <v>370</v>
      </c>
    </row>
    <row r="44" spans="1:15" ht="25" customHeight="1" x14ac:dyDescent="0.25">
      <c r="A44" s="46" t="s">
        <v>371</v>
      </c>
    </row>
    <row r="45" spans="1:15" ht="25" customHeight="1" x14ac:dyDescent="0.25">
      <c r="A45" s="75" t="s">
        <v>409</v>
      </c>
      <c r="B45" s="76"/>
      <c r="C45" s="76"/>
      <c r="D45" s="76"/>
      <c r="E45" s="76"/>
    </row>
    <row r="46" spans="1:15" ht="25" customHeight="1" x14ac:dyDescent="0.25">
      <c r="A46" s="91" t="s">
        <v>280</v>
      </c>
      <c r="B46" s="91"/>
      <c r="C46" s="43" t="s">
        <v>281</v>
      </c>
      <c r="D46" s="37" t="s">
        <v>318</v>
      </c>
      <c r="E46" s="43" t="s">
        <v>319</v>
      </c>
    </row>
    <row r="47" spans="1:15" ht="25" customHeight="1" x14ac:dyDescent="0.25">
      <c r="A47" s="74" t="s">
        <v>284</v>
      </c>
      <c r="B47" s="74"/>
      <c r="C47" s="40" t="s">
        <v>285</v>
      </c>
      <c r="D47" s="38" t="s">
        <v>286</v>
      </c>
      <c r="E47" s="40" t="s">
        <v>372</v>
      </c>
    </row>
    <row r="48" spans="1:15" ht="25" customHeight="1" x14ac:dyDescent="0.25">
      <c r="A48" s="79" t="s">
        <v>288</v>
      </c>
      <c r="B48" s="80"/>
      <c r="C48" s="40" t="s">
        <v>289</v>
      </c>
      <c r="D48" s="38"/>
      <c r="E48" s="40">
        <v>64</v>
      </c>
    </row>
    <row r="49" spans="1:6" ht="25" customHeight="1" x14ac:dyDescent="0.25">
      <c r="A49" s="79" t="s">
        <v>373</v>
      </c>
      <c r="B49" s="80"/>
      <c r="C49" s="51" t="s">
        <v>390</v>
      </c>
      <c r="D49" s="38" t="s">
        <v>389</v>
      </c>
      <c r="E49" s="74" t="s">
        <v>391</v>
      </c>
    </row>
    <row r="50" spans="1:6" ht="25" customHeight="1" x14ac:dyDescent="0.25">
      <c r="A50" s="79" t="s">
        <v>374</v>
      </c>
      <c r="B50" s="80"/>
      <c r="C50" s="39" t="s">
        <v>392</v>
      </c>
      <c r="D50" s="38" t="s">
        <v>389</v>
      </c>
      <c r="E50" s="74"/>
    </row>
    <row r="51" spans="1:6" ht="25" customHeight="1" x14ac:dyDescent="0.25">
      <c r="A51" s="79" t="s">
        <v>375</v>
      </c>
      <c r="B51" s="80"/>
      <c r="C51" s="39" t="s">
        <v>393</v>
      </c>
      <c r="D51" s="38" t="s">
        <v>389</v>
      </c>
      <c r="E51" s="74"/>
    </row>
    <row r="52" spans="1:6" ht="25" customHeight="1" x14ac:dyDescent="0.25">
      <c r="A52" s="79" t="s">
        <v>376</v>
      </c>
      <c r="B52" s="80"/>
      <c r="C52" s="39" t="s">
        <v>394</v>
      </c>
      <c r="D52" s="38" t="s">
        <v>389</v>
      </c>
      <c r="E52" s="74"/>
    </row>
    <row r="53" spans="1:6" ht="25" customHeight="1" x14ac:dyDescent="0.25">
      <c r="A53" s="79" t="s">
        <v>377</v>
      </c>
      <c r="B53" s="80"/>
      <c r="C53" s="39" t="s">
        <v>395</v>
      </c>
      <c r="D53" s="38" t="s">
        <v>389</v>
      </c>
      <c r="E53" s="74"/>
    </row>
    <row r="54" spans="1:6" ht="25" customHeight="1" x14ac:dyDescent="0.25">
      <c r="A54" s="79" t="s">
        <v>378</v>
      </c>
      <c r="B54" s="80"/>
      <c r="C54" s="40" t="s">
        <v>396</v>
      </c>
      <c r="D54" s="38" t="s">
        <v>389</v>
      </c>
      <c r="E54" s="74"/>
    </row>
    <row r="55" spans="1:6" ht="25" customHeight="1" x14ac:dyDescent="0.25">
      <c r="A55" s="79" t="s">
        <v>379</v>
      </c>
      <c r="B55" s="80"/>
      <c r="C55" s="40" t="s">
        <v>397</v>
      </c>
      <c r="D55" s="38" t="s">
        <v>389</v>
      </c>
      <c r="E55" s="74"/>
    </row>
    <row r="56" spans="1:6" ht="25" customHeight="1" x14ac:dyDescent="0.25">
      <c r="A56" s="79" t="s">
        <v>380</v>
      </c>
      <c r="B56" s="80"/>
      <c r="C56" s="40" t="s">
        <v>398</v>
      </c>
      <c r="D56" s="38" t="s">
        <v>389</v>
      </c>
      <c r="E56" s="74"/>
    </row>
    <row r="57" spans="1:6" ht="33" customHeight="1" x14ac:dyDescent="0.25">
      <c r="A57" s="79" t="s">
        <v>381</v>
      </c>
      <c r="B57" s="80"/>
      <c r="C57" s="39" t="s">
        <v>399</v>
      </c>
      <c r="D57" s="38" t="s">
        <v>331</v>
      </c>
      <c r="E57" s="92" t="s">
        <v>407</v>
      </c>
      <c r="F57" s="58" t="s">
        <v>480</v>
      </c>
    </row>
    <row r="58" spans="1:6" ht="33" customHeight="1" x14ac:dyDescent="0.25">
      <c r="A58" s="79" t="s">
        <v>382</v>
      </c>
      <c r="B58" s="80"/>
      <c r="C58" s="39" t="s">
        <v>400</v>
      </c>
      <c r="D58" s="38" t="s">
        <v>331</v>
      </c>
      <c r="E58" s="93"/>
      <c r="F58" s="58" t="s">
        <v>484</v>
      </c>
    </row>
    <row r="59" spans="1:6" ht="33" customHeight="1" x14ac:dyDescent="0.25">
      <c r="A59" s="79" t="s">
        <v>383</v>
      </c>
      <c r="B59" s="80"/>
      <c r="C59" s="39" t="s">
        <v>401</v>
      </c>
      <c r="D59" s="38" t="s">
        <v>331</v>
      </c>
      <c r="E59" s="93"/>
      <c r="F59" s="58" t="s">
        <v>485</v>
      </c>
    </row>
    <row r="60" spans="1:6" ht="33" customHeight="1" x14ac:dyDescent="0.25">
      <c r="A60" s="79" t="s">
        <v>384</v>
      </c>
      <c r="B60" s="80"/>
      <c r="C60" s="39" t="s">
        <v>402</v>
      </c>
      <c r="D60" s="38" t="s">
        <v>331</v>
      </c>
      <c r="E60" s="93"/>
      <c r="F60" s="58" t="s">
        <v>485</v>
      </c>
    </row>
    <row r="61" spans="1:6" ht="33" customHeight="1" x14ac:dyDescent="0.25">
      <c r="A61" s="79" t="s">
        <v>385</v>
      </c>
      <c r="B61" s="80"/>
      <c r="C61" s="39" t="s">
        <v>403</v>
      </c>
      <c r="D61" s="38" t="s">
        <v>331</v>
      </c>
      <c r="E61" s="93"/>
      <c r="F61" s="58" t="s">
        <v>486</v>
      </c>
    </row>
    <row r="62" spans="1:6" ht="33" customHeight="1" x14ac:dyDescent="0.25">
      <c r="A62" s="79" t="s">
        <v>386</v>
      </c>
      <c r="B62" s="80"/>
      <c r="C62" s="39" t="s">
        <v>404</v>
      </c>
      <c r="D62" s="38" t="s">
        <v>331</v>
      </c>
      <c r="E62" s="93"/>
      <c r="F62" s="58" t="s">
        <v>487</v>
      </c>
    </row>
    <row r="63" spans="1:6" ht="33" customHeight="1" x14ac:dyDescent="0.25">
      <c r="A63" s="79" t="s">
        <v>387</v>
      </c>
      <c r="B63" s="80"/>
      <c r="C63" s="39" t="s">
        <v>405</v>
      </c>
      <c r="D63" s="38" t="s">
        <v>331</v>
      </c>
      <c r="E63" s="93"/>
      <c r="F63" s="58" t="s">
        <v>488</v>
      </c>
    </row>
    <row r="64" spans="1:6" ht="33" customHeight="1" x14ac:dyDescent="0.25">
      <c r="A64" s="79" t="s">
        <v>388</v>
      </c>
      <c r="B64" s="80"/>
      <c r="C64" s="39" t="s">
        <v>406</v>
      </c>
      <c r="D64" s="38" t="s">
        <v>331</v>
      </c>
      <c r="E64" s="94"/>
      <c r="F64" s="58" t="s">
        <v>489</v>
      </c>
    </row>
    <row r="67" spans="1:9" ht="22.5" x14ac:dyDescent="0.25">
      <c r="A67" s="35" t="s">
        <v>413</v>
      </c>
    </row>
    <row r="68" spans="1:9" x14ac:dyDescent="0.25">
      <c r="A68" s="50" t="s">
        <v>443</v>
      </c>
    </row>
    <row r="69" spans="1:9" x14ac:dyDescent="0.25">
      <c r="A69" s="81" t="s">
        <v>345</v>
      </c>
      <c r="B69" s="82"/>
      <c r="C69" s="82"/>
      <c r="D69" s="82"/>
      <c r="E69" s="83"/>
      <c r="I69" s="70" t="s">
        <v>517</v>
      </c>
    </row>
    <row r="70" spans="1:9" x14ac:dyDescent="0.25">
      <c r="A70" s="84" t="s">
        <v>280</v>
      </c>
      <c r="B70" s="85"/>
      <c r="C70" s="43" t="s">
        <v>281</v>
      </c>
      <c r="D70" s="37" t="s">
        <v>318</v>
      </c>
      <c r="E70" s="43" t="s">
        <v>319</v>
      </c>
    </row>
    <row r="71" spans="1:9" x14ac:dyDescent="0.25">
      <c r="A71" s="79" t="s">
        <v>284</v>
      </c>
      <c r="B71" s="80"/>
      <c r="C71" s="40" t="s">
        <v>285</v>
      </c>
      <c r="D71" s="38" t="s">
        <v>286</v>
      </c>
      <c r="E71" s="40" t="s">
        <v>415</v>
      </c>
    </row>
    <row r="72" spans="1:9" x14ac:dyDescent="0.25">
      <c r="A72" s="79" t="s">
        <v>288</v>
      </c>
      <c r="B72" s="80"/>
      <c r="C72" s="40" t="s">
        <v>289</v>
      </c>
      <c r="D72" s="38"/>
      <c r="E72" s="40">
        <v>9</v>
      </c>
    </row>
    <row r="73" spans="1:9" x14ac:dyDescent="0.25">
      <c r="A73" s="74" t="s">
        <v>291</v>
      </c>
      <c r="B73" s="38" t="s">
        <v>347</v>
      </c>
      <c r="C73" s="39" t="s">
        <v>353</v>
      </c>
      <c r="D73" s="38" t="s">
        <v>334</v>
      </c>
      <c r="E73" s="40" t="s">
        <v>340</v>
      </c>
    </row>
    <row r="74" spans="1:9" x14ac:dyDescent="0.25">
      <c r="A74" s="74"/>
      <c r="B74" s="38" t="s">
        <v>348</v>
      </c>
      <c r="C74" s="39" t="s">
        <v>354</v>
      </c>
      <c r="D74" s="38" t="s">
        <v>334</v>
      </c>
      <c r="E74" s="40" t="s">
        <v>341</v>
      </c>
    </row>
    <row r="75" spans="1:9" x14ac:dyDescent="0.25">
      <c r="A75" s="74"/>
      <c r="B75" s="38" t="s">
        <v>349</v>
      </c>
      <c r="C75" s="39" t="s">
        <v>356</v>
      </c>
      <c r="D75" s="38" t="s">
        <v>334</v>
      </c>
      <c r="E75" s="40" t="s">
        <v>357</v>
      </c>
    </row>
    <row r="76" spans="1:9" ht="51" customHeight="1" x14ac:dyDescent="0.25">
      <c r="A76" s="74"/>
      <c r="B76" s="38" t="s">
        <v>420</v>
      </c>
      <c r="C76" s="39" t="s">
        <v>359</v>
      </c>
      <c r="D76" s="38" t="s">
        <v>361</v>
      </c>
      <c r="E76" s="39" t="s">
        <v>416</v>
      </c>
    </row>
    <row r="77" spans="1:9" ht="21.75" customHeight="1" x14ac:dyDescent="0.25">
      <c r="A77" s="74"/>
      <c r="B77" s="38" t="s">
        <v>332</v>
      </c>
      <c r="C77" s="41" t="s">
        <v>346</v>
      </c>
      <c r="D77" s="38"/>
      <c r="E77" s="15"/>
    </row>
    <row r="78" spans="1:9" ht="25" customHeight="1" x14ac:dyDescent="0.25">
      <c r="A78" s="79" t="s">
        <v>297</v>
      </c>
      <c r="B78" s="80"/>
      <c r="C78" s="88" t="s">
        <v>417</v>
      </c>
      <c r="D78" s="74" t="s">
        <v>293</v>
      </c>
      <c r="E78" s="86" t="s">
        <v>440</v>
      </c>
    </row>
    <row r="79" spans="1:9" ht="25" customHeight="1" x14ac:dyDescent="0.25">
      <c r="A79" s="79" t="s">
        <v>298</v>
      </c>
      <c r="B79" s="80"/>
      <c r="C79" s="88"/>
      <c r="D79" s="74"/>
      <c r="E79" s="87"/>
      <c r="G79" s="66" t="s">
        <v>510</v>
      </c>
      <c r="H79" s="67" t="s">
        <v>511</v>
      </c>
    </row>
    <row r="80" spans="1:9" ht="25" customHeight="1" x14ac:dyDescent="0.25">
      <c r="A80" s="79" t="s">
        <v>299</v>
      </c>
      <c r="B80" s="80"/>
      <c r="C80" s="77" t="s">
        <v>418</v>
      </c>
      <c r="D80" s="92" t="s">
        <v>419</v>
      </c>
      <c r="E80" s="86" t="s">
        <v>441</v>
      </c>
      <c r="G80" s="66" t="s">
        <v>513</v>
      </c>
      <c r="H80" s="68" t="s">
        <v>512</v>
      </c>
    </row>
    <row r="81" spans="1:5" ht="25" customHeight="1" x14ac:dyDescent="0.25">
      <c r="A81" s="74" t="s">
        <v>425</v>
      </c>
      <c r="B81" s="38" t="s">
        <v>421</v>
      </c>
      <c r="C81" s="78"/>
      <c r="D81" s="94"/>
      <c r="E81" s="95"/>
    </row>
    <row r="82" spans="1:5" ht="25" customHeight="1" x14ac:dyDescent="0.25">
      <c r="A82" s="74"/>
      <c r="B82" s="38" t="s">
        <v>422</v>
      </c>
      <c r="C82" s="77" t="s">
        <v>423</v>
      </c>
      <c r="D82" s="92" t="s">
        <v>424</v>
      </c>
      <c r="E82" s="95" t="s">
        <v>442</v>
      </c>
    </row>
    <row r="83" spans="1:5" ht="25" customHeight="1" x14ac:dyDescent="0.25">
      <c r="A83" s="79" t="s">
        <v>426</v>
      </c>
      <c r="B83" s="80"/>
      <c r="C83" s="78"/>
      <c r="D83" s="94"/>
      <c r="E83" s="87"/>
    </row>
    <row r="84" spans="1:5" ht="25" customHeight="1" x14ac:dyDescent="0.25">
      <c r="A84" s="79" t="s">
        <v>427</v>
      </c>
      <c r="B84" s="80"/>
      <c r="C84" s="77" t="s">
        <v>429</v>
      </c>
      <c r="D84" s="92" t="s">
        <v>419</v>
      </c>
      <c r="E84" s="77" t="s">
        <v>431</v>
      </c>
    </row>
    <row r="85" spans="1:5" ht="25" customHeight="1" x14ac:dyDescent="0.25">
      <c r="A85" s="45" t="s">
        <v>428</v>
      </c>
      <c r="B85" s="38" t="s">
        <v>421</v>
      </c>
      <c r="C85" s="78"/>
      <c r="D85" s="94"/>
      <c r="E85" s="96"/>
    </row>
    <row r="86" spans="1:5" ht="25" customHeight="1" x14ac:dyDescent="0.25">
      <c r="A86" s="45"/>
      <c r="B86" s="38" t="s">
        <v>422</v>
      </c>
      <c r="C86" s="92" t="s">
        <v>430</v>
      </c>
      <c r="D86" s="92" t="s">
        <v>424</v>
      </c>
      <c r="E86" s="96" t="s">
        <v>432</v>
      </c>
    </row>
    <row r="87" spans="1:5" ht="25" customHeight="1" x14ac:dyDescent="0.25">
      <c r="A87" s="79" t="s">
        <v>327</v>
      </c>
      <c r="B87" s="80"/>
      <c r="C87" s="94"/>
      <c r="D87" s="94"/>
      <c r="E87" s="78"/>
    </row>
    <row r="88" spans="1:5" x14ac:dyDescent="0.25">
      <c r="A88" s="51"/>
      <c r="B88" s="51"/>
      <c r="C88" s="51"/>
      <c r="D88" s="51"/>
      <c r="E88" s="52"/>
    </row>
    <row r="89" spans="1:5" x14ac:dyDescent="0.25">
      <c r="A89" s="51"/>
      <c r="B89" s="51"/>
      <c r="C89" s="51"/>
      <c r="D89" s="51"/>
      <c r="E89" s="52"/>
    </row>
    <row r="91" spans="1:5" ht="22.5" x14ac:dyDescent="0.25">
      <c r="A91" s="35" t="s">
        <v>414</v>
      </c>
    </row>
    <row r="92" spans="1:5" x14ac:dyDescent="0.25">
      <c r="A92" s="46" t="s">
        <v>444</v>
      </c>
    </row>
    <row r="93" spans="1:5" x14ac:dyDescent="0.25">
      <c r="A93" s="75" t="s">
        <v>345</v>
      </c>
      <c r="B93" s="76"/>
      <c r="C93" s="76"/>
      <c r="D93" s="76"/>
      <c r="E93" s="76"/>
    </row>
    <row r="94" spans="1:5" x14ac:dyDescent="0.25">
      <c r="A94" s="91" t="s">
        <v>280</v>
      </c>
      <c r="B94" s="91"/>
      <c r="C94" s="43" t="s">
        <v>281</v>
      </c>
      <c r="D94" s="37" t="s">
        <v>318</v>
      </c>
      <c r="E94" s="43" t="s">
        <v>319</v>
      </c>
    </row>
    <row r="95" spans="1:5" x14ac:dyDescent="0.25">
      <c r="A95" s="74" t="s">
        <v>284</v>
      </c>
      <c r="B95" s="74"/>
      <c r="C95" s="40" t="s">
        <v>285</v>
      </c>
      <c r="D95" s="38" t="s">
        <v>286</v>
      </c>
      <c r="E95" s="40" t="s">
        <v>439</v>
      </c>
    </row>
    <row r="96" spans="1:5" x14ac:dyDescent="0.25">
      <c r="A96" s="79" t="s">
        <v>288</v>
      </c>
      <c r="B96" s="80"/>
      <c r="C96" s="40" t="s">
        <v>289</v>
      </c>
      <c r="D96" s="38"/>
      <c r="E96" s="40">
        <v>64</v>
      </c>
    </row>
    <row r="97" spans="1:5" x14ac:dyDescent="0.25">
      <c r="A97" s="79" t="s">
        <v>433</v>
      </c>
      <c r="B97" s="80"/>
      <c r="C97" s="36" t="s">
        <v>390</v>
      </c>
      <c r="D97" s="38" t="s">
        <v>478</v>
      </c>
      <c r="E97" s="100" t="s">
        <v>445</v>
      </c>
    </row>
    <row r="98" spans="1:5" x14ac:dyDescent="0.25">
      <c r="A98" s="79" t="s">
        <v>434</v>
      </c>
      <c r="B98" s="80"/>
      <c r="C98" s="39" t="s">
        <v>392</v>
      </c>
      <c r="D98" s="38" t="s">
        <v>478</v>
      </c>
      <c r="E98" s="100"/>
    </row>
    <row r="99" spans="1:5" x14ac:dyDescent="0.25">
      <c r="A99" s="79" t="s">
        <v>435</v>
      </c>
      <c r="B99" s="80"/>
      <c r="C99" s="39" t="s">
        <v>393</v>
      </c>
      <c r="D99" s="38" t="s">
        <v>478</v>
      </c>
      <c r="E99" s="100"/>
    </row>
    <row r="100" spans="1:5" x14ac:dyDescent="0.25">
      <c r="A100" s="79" t="s">
        <v>436</v>
      </c>
      <c r="B100" s="80"/>
      <c r="C100" s="39" t="s">
        <v>394</v>
      </c>
      <c r="D100" s="38" t="s">
        <v>478</v>
      </c>
      <c r="E100" s="100"/>
    </row>
    <row r="101" spans="1:5" x14ac:dyDescent="0.25">
      <c r="A101" s="79" t="s">
        <v>437</v>
      </c>
      <c r="B101" s="80"/>
      <c r="C101" s="39" t="s">
        <v>395</v>
      </c>
      <c r="D101" s="38" t="s">
        <v>478</v>
      </c>
      <c r="E101" s="100"/>
    </row>
    <row r="102" spans="1:5" x14ac:dyDescent="0.25">
      <c r="A102" s="79" t="s">
        <v>438</v>
      </c>
      <c r="B102" s="80"/>
      <c r="C102" s="40" t="s">
        <v>396</v>
      </c>
      <c r="D102" s="38" t="s">
        <v>478</v>
      </c>
      <c r="E102" s="100"/>
    </row>
    <row r="103" spans="1:5" ht="30" x14ac:dyDescent="0.25">
      <c r="A103" s="79" t="s">
        <v>381</v>
      </c>
      <c r="B103" s="80"/>
      <c r="C103" s="39" t="s">
        <v>399</v>
      </c>
      <c r="D103" s="38" t="s">
        <v>331</v>
      </c>
      <c r="E103" s="97" t="s">
        <v>407</v>
      </c>
    </row>
    <row r="104" spans="1:5" ht="30" x14ac:dyDescent="0.25">
      <c r="A104" s="79" t="s">
        <v>382</v>
      </c>
      <c r="B104" s="80"/>
      <c r="C104" s="39" t="s">
        <v>400</v>
      </c>
      <c r="D104" s="38" t="s">
        <v>331</v>
      </c>
      <c r="E104" s="98"/>
    </row>
    <row r="105" spans="1:5" ht="30" x14ac:dyDescent="0.25">
      <c r="A105" s="79" t="s">
        <v>383</v>
      </c>
      <c r="B105" s="80"/>
      <c r="C105" s="39" t="s">
        <v>401</v>
      </c>
      <c r="D105" s="38" t="s">
        <v>331</v>
      </c>
      <c r="E105" s="98"/>
    </row>
    <row r="106" spans="1:5" ht="30" x14ac:dyDescent="0.25">
      <c r="A106" s="79" t="s">
        <v>384</v>
      </c>
      <c r="B106" s="80"/>
      <c r="C106" s="39" t="s">
        <v>402</v>
      </c>
      <c r="D106" s="38" t="s">
        <v>331</v>
      </c>
      <c r="E106" s="98"/>
    </row>
    <row r="107" spans="1:5" ht="30" x14ac:dyDescent="0.25">
      <c r="A107" s="79" t="s">
        <v>385</v>
      </c>
      <c r="B107" s="80"/>
      <c r="C107" s="39" t="s">
        <v>403</v>
      </c>
      <c r="D107" s="38" t="s">
        <v>331</v>
      </c>
      <c r="E107" s="98"/>
    </row>
    <row r="108" spans="1:5" ht="30" x14ac:dyDescent="0.25">
      <c r="A108" s="79" t="s">
        <v>386</v>
      </c>
      <c r="B108" s="80"/>
      <c r="C108" s="39" t="s">
        <v>404</v>
      </c>
      <c r="D108" s="38" t="s">
        <v>331</v>
      </c>
      <c r="E108" s="98"/>
    </row>
    <row r="109" spans="1:5" ht="30" x14ac:dyDescent="0.25">
      <c r="A109" s="79" t="s">
        <v>387</v>
      </c>
      <c r="B109" s="80"/>
      <c r="C109" s="39" t="s">
        <v>405</v>
      </c>
      <c r="D109" s="38" t="s">
        <v>331</v>
      </c>
      <c r="E109" s="98"/>
    </row>
    <row r="110" spans="1:5" ht="30" x14ac:dyDescent="0.25">
      <c r="A110" s="79" t="s">
        <v>388</v>
      </c>
      <c r="B110" s="80"/>
      <c r="C110" s="39" t="s">
        <v>406</v>
      </c>
      <c r="D110" s="38" t="s">
        <v>331</v>
      </c>
      <c r="E110" s="99"/>
    </row>
  </sheetData>
  <mergeCells count="160">
    <mergeCell ref="N28:O28"/>
    <mergeCell ref="N36:N37"/>
    <mergeCell ref="O36:O37"/>
    <mergeCell ref="N38:N39"/>
    <mergeCell ref="O38:O39"/>
    <mergeCell ref="N40:N41"/>
    <mergeCell ref="O40:O41"/>
    <mergeCell ref="J28:K28"/>
    <mergeCell ref="J36:J37"/>
    <mergeCell ref="K36:K37"/>
    <mergeCell ref="J38:J39"/>
    <mergeCell ref="K38:K39"/>
    <mergeCell ref="J40:J41"/>
    <mergeCell ref="K40:K41"/>
    <mergeCell ref="L28:M28"/>
    <mergeCell ref="L36:L37"/>
    <mergeCell ref="M36:M37"/>
    <mergeCell ref="L38:L39"/>
    <mergeCell ref="M38:M39"/>
    <mergeCell ref="L40:L41"/>
    <mergeCell ref="M40:M41"/>
    <mergeCell ref="F36:F37"/>
    <mergeCell ref="F38:F39"/>
    <mergeCell ref="G36:G37"/>
    <mergeCell ref="G38:G39"/>
    <mergeCell ref="G40:G41"/>
    <mergeCell ref="F40:F41"/>
    <mergeCell ref="F28:G28"/>
    <mergeCell ref="F27:G27"/>
    <mergeCell ref="H28:I28"/>
    <mergeCell ref="H36:H37"/>
    <mergeCell ref="I36:I37"/>
    <mergeCell ref="H38:H39"/>
    <mergeCell ref="I38:I39"/>
    <mergeCell ref="H40:H41"/>
    <mergeCell ref="I40:I41"/>
    <mergeCell ref="A93:E93"/>
    <mergeCell ref="A94:B94"/>
    <mergeCell ref="A95:B95"/>
    <mergeCell ref="A96:B96"/>
    <mergeCell ref="A97:B97"/>
    <mergeCell ref="E97:E102"/>
    <mergeCell ref="A98:B98"/>
    <mergeCell ref="A99:B99"/>
    <mergeCell ref="A100:B100"/>
    <mergeCell ref="A101:B101"/>
    <mergeCell ref="A102:B102"/>
    <mergeCell ref="A103:B103"/>
    <mergeCell ref="E103:E110"/>
    <mergeCell ref="A104:B104"/>
    <mergeCell ref="A105:B105"/>
    <mergeCell ref="A106:B106"/>
    <mergeCell ref="A107:B107"/>
    <mergeCell ref="A108:B108"/>
    <mergeCell ref="A109:B109"/>
    <mergeCell ref="A110:B110"/>
    <mergeCell ref="A84:B84"/>
    <mergeCell ref="A87:B87"/>
    <mergeCell ref="C86:C87"/>
    <mergeCell ref="C84:C85"/>
    <mergeCell ref="A80:B80"/>
    <mergeCell ref="C80:C81"/>
    <mergeCell ref="A83:B83"/>
    <mergeCell ref="E80:E81"/>
    <mergeCell ref="D80:D81"/>
    <mergeCell ref="A81:A82"/>
    <mergeCell ref="C82:C83"/>
    <mergeCell ref="D82:D83"/>
    <mergeCell ref="E82:E83"/>
    <mergeCell ref="E84:E85"/>
    <mergeCell ref="E86:E87"/>
    <mergeCell ref="D86:D87"/>
    <mergeCell ref="D84:D85"/>
    <mergeCell ref="A78:B78"/>
    <mergeCell ref="C78:C79"/>
    <mergeCell ref="D78:D79"/>
    <mergeCell ref="E78:E79"/>
    <mergeCell ref="A79:B79"/>
    <mergeCell ref="A69:E69"/>
    <mergeCell ref="A70:B70"/>
    <mergeCell ref="A71:B71"/>
    <mergeCell ref="A72:B72"/>
    <mergeCell ref="A73:A77"/>
    <mergeCell ref="A62:B62"/>
    <mergeCell ref="A63:B63"/>
    <mergeCell ref="A64:B64"/>
    <mergeCell ref="E49:E56"/>
    <mergeCell ref="E57:E64"/>
    <mergeCell ref="A56:B56"/>
    <mergeCell ref="A57:B57"/>
    <mergeCell ref="A58:B58"/>
    <mergeCell ref="A59:B59"/>
    <mergeCell ref="A60:B60"/>
    <mergeCell ref="A61:B61"/>
    <mergeCell ref="A54:B54"/>
    <mergeCell ref="A55:B55"/>
    <mergeCell ref="A49:B49"/>
    <mergeCell ref="A50:B50"/>
    <mergeCell ref="A51:B51"/>
    <mergeCell ref="A52:B52"/>
    <mergeCell ref="A53:B53"/>
    <mergeCell ref="A31:A35"/>
    <mergeCell ref="A46:B46"/>
    <mergeCell ref="A47:B47"/>
    <mergeCell ref="A48:B48"/>
    <mergeCell ref="A40:B40"/>
    <mergeCell ref="A41:B41"/>
    <mergeCell ref="A36:B36"/>
    <mergeCell ref="C36:C37"/>
    <mergeCell ref="D36:D37"/>
    <mergeCell ref="C40:C41"/>
    <mergeCell ref="D40:D41"/>
    <mergeCell ref="E38:E39"/>
    <mergeCell ref="A39:B39"/>
    <mergeCell ref="A4:E4"/>
    <mergeCell ref="A2:E2"/>
    <mergeCell ref="A3:E3"/>
    <mergeCell ref="E10:E11"/>
    <mergeCell ref="E12:E13"/>
    <mergeCell ref="A5:B5"/>
    <mergeCell ref="C8:C9"/>
    <mergeCell ref="D8:D9"/>
    <mergeCell ref="E8:E9"/>
    <mergeCell ref="C10:C11"/>
    <mergeCell ref="C12:C13"/>
    <mergeCell ref="A6:B6"/>
    <mergeCell ref="A7:B7"/>
    <mergeCell ref="A8:B8"/>
    <mergeCell ref="A9:B9"/>
    <mergeCell ref="A10:B10"/>
    <mergeCell ref="A11:B11"/>
    <mergeCell ref="A12:B12"/>
    <mergeCell ref="D10:D11"/>
    <mergeCell ref="D12:D13"/>
    <mergeCell ref="C16:C17"/>
    <mergeCell ref="D16:D17"/>
    <mergeCell ref="H26:I26"/>
    <mergeCell ref="H25:I25"/>
    <mergeCell ref="D14:D15"/>
    <mergeCell ref="A45:E45"/>
    <mergeCell ref="E14:E15"/>
    <mergeCell ref="A13:B13"/>
    <mergeCell ref="E16:E17"/>
    <mergeCell ref="A27:E27"/>
    <mergeCell ref="A28:B28"/>
    <mergeCell ref="A29:B29"/>
    <mergeCell ref="A30:B30"/>
    <mergeCell ref="A18:B18"/>
    <mergeCell ref="A19:A22"/>
    <mergeCell ref="A16:B16"/>
    <mergeCell ref="A17:B17"/>
    <mergeCell ref="E40:E41"/>
    <mergeCell ref="A14:B14"/>
    <mergeCell ref="A15:B15"/>
    <mergeCell ref="C14:C15"/>
    <mergeCell ref="E36:E37"/>
    <mergeCell ref="A37:B37"/>
    <mergeCell ref="A38:B38"/>
    <mergeCell ref="C38:C39"/>
    <mergeCell ref="D38:D39"/>
  </mergeCells>
  <phoneticPr fontId="10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B4D6-8546-4C02-A577-36F87282D66E}">
  <dimension ref="B2:P25"/>
  <sheetViews>
    <sheetView topLeftCell="B1" workbookViewId="0">
      <selection activeCell="F26" sqref="F26"/>
    </sheetView>
  </sheetViews>
  <sheetFormatPr defaultRowHeight="12" x14ac:dyDescent="0.25"/>
  <cols>
    <col min="1" max="1" width="8.7265625" style="60"/>
    <col min="2" max="2" width="4.54296875" style="60" bestFit="1" customWidth="1"/>
    <col min="3" max="3" width="10" style="60" bestFit="1" customWidth="1"/>
    <col min="4" max="4" width="14.7265625" style="60" bestFit="1" customWidth="1"/>
    <col min="5" max="5" width="6.7265625" style="60" bestFit="1" customWidth="1"/>
    <col min="6" max="6" width="60.6328125" style="60" bestFit="1" customWidth="1"/>
    <col min="7" max="7" width="9.08984375" style="60" bestFit="1" customWidth="1"/>
    <col min="8" max="8" width="26.90625" style="60" bestFit="1" customWidth="1"/>
    <col min="9" max="9" width="9.08984375" style="60" bestFit="1" customWidth="1"/>
    <col min="10" max="10" width="28.26953125" style="60" bestFit="1" customWidth="1"/>
    <col min="11" max="11" width="9.08984375" style="60" bestFit="1" customWidth="1"/>
    <col min="12" max="12" width="29.6328125" style="60" bestFit="1" customWidth="1"/>
    <col min="13" max="13" width="9.08984375" style="60" bestFit="1" customWidth="1"/>
    <col min="14" max="14" width="26.90625" style="60" bestFit="1" customWidth="1"/>
    <col min="15" max="15" width="9.08984375" style="60" bestFit="1" customWidth="1"/>
    <col min="16" max="16" width="20" style="60" bestFit="1" customWidth="1"/>
    <col min="17" max="16384" width="8.7265625" style="60"/>
  </cols>
  <sheetData>
    <row r="2" spans="2:16" x14ac:dyDescent="0.25">
      <c r="B2" s="119" t="s">
        <v>345</v>
      </c>
      <c r="C2" s="120"/>
      <c r="D2" s="120"/>
      <c r="E2" s="120"/>
      <c r="F2" s="121"/>
      <c r="G2" s="122" t="s">
        <v>457</v>
      </c>
      <c r="H2" s="122"/>
    </row>
    <row r="3" spans="2:16" x14ac:dyDescent="0.25">
      <c r="B3" s="123" t="s">
        <v>280</v>
      </c>
      <c r="C3" s="124"/>
      <c r="D3" s="61" t="s">
        <v>281</v>
      </c>
      <c r="E3" s="62" t="s">
        <v>318</v>
      </c>
      <c r="F3" s="61" t="s">
        <v>319</v>
      </c>
      <c r="G3" s="125" t="s">
        <v>447</v>
      </c>
      <c r="H3" s="125"/>
      <c r="I3" s="125" t="s">
        <v>466</v>
      </c>
      <c r="J3" s="125"/>
      <c r="K3" s="125" t="s">
        <v>467</v>
      </c>
      <c r="L3" s="125"/>
      <c r="M3" s="125" t="s">
        <v>474</v>
      </c>
      <c r="N3" s="125"/>
      <c r="O3" s="125" t="s">
        <v>477</v>
      </c>
      <c r="P3" s="125"/>
    </row>
    <row r="4" spans="2:16" x14ac:dyDescent="0.25">
      <c r="B4" s="126" t="s">
        <v>284</v>
      </c>
      <c r="C4" s="127"/>
      <c r="D4" s="64" t="s">
        <v>285</v>
      </c>
      <c r="E4" s="65" t="s">
        <v>286</v>
      </c>
      <c r="F4" s="64" t="s">
        <v>352</v>
      </c>
      <c r="G4" s="64" t="s">
        <v>458</v>
      </c>
      <c r="H4" s="64"/>
      <c r="I4" s="64" t="s">
        <v>458</v>
      </c>
      <c r="J4" s="64"/>
      <c r="K4" s="64" t="s">
        <v>458</v>
      </c>
      <c r="L4" s="64"/>
      <c r="M4" s="64" t="s">
        <v>458</v>
      </c>
      <c r="N4" s="64"/>
      <c r="O4" s="64" t="s">
        <v>458</v>
      </c>
      <c r="P4" s="64"/>
    </row>
    <row r="5" spans="2:16" x14ac:dyDescent="0.25">
      <c r="B5" s="126" t="s">
        <v>288</v>
      </c>
      <c r="C5" s="127"/>
      <c r="D5" s="64" t="s">
        <v>289</v>
      </c>
      <c r="E5" s="65"/>
      <c r="F5" s="64">
        <v>7</v>
      </c>
      <c r="G5" s="64">
        <v>7</v>
      </c>
      <c r="H5" s="64"/>
      <c r="I5" s="64">
        <v>7</v>
      </c>
      <c r="J5" s="64"/>
      <c r="K5" s="64">
        <v>7</v>
      </c>
      <c r="L5" s="64"/>
      <c r="M5" s="64">
        <v>7</v>
      </c>
      <c r="N5" s="64"/>
      <c r="O5" s="64">
        <v>7</v>
      </c>
      <c r="P5" s="64"/>
    </row>
    <row r="6" spans="2:16" x14ac:dyDescent="0.25">
      <c r="B6" s="128" t="s">
        <v>291</v>
      </c>
      <c r="C6" s="65" t="s">
        <v>347</v>
      </c>
      <c r="D6" s="63" t="s">
        <v>353</v>
      </c>
      <c r="E6" s="65" t="s">
        <v>334</v>
      </c>
      <c r="F6" s="64" t="s">
        <v>340</v>
      </c>
      <c r="G6" s="64">
        <v>1</v>
      </c>
      <c r="H6" s="64" t="s">
        <v>449</v>
      </c>
      <c r="I6" s="64">
        <v>1</v>
      </c>
      <c r="J6" s="64" t="s">
        <v>449</v>
      </c>
      <c r="K6" s="64">
        <v>1</v>
      </c>
      <c r="L6" s="64" t="s">
        <v>449</v>
      </c>
      <c r="M6" s="64">
        <v>1</v>
      </c>
      <c r="N6" s="64" t="s">
        <v>449</v>
      </c>
      <c r="O6" s="64">
        <v>1</v>
      </c>
      <c r="P6" s="64" t="s">
        <v>449</v>
      </c>
    </row>
    <row r="7" spans="2:16" x14ac:dyDescent="0.25">
      <c r="B7" s="128"/>
      <c r="C7" s="65" t="s">
        <v>348</v>
      </c>
      <c r="D7" s="63" t="s">
        <v>354</v>
      </c>
      <c r="E7" s="65" t="s">
        <v>334</v>
      </c>
      <c r="F7" s="64" t="s">
        <v>341</v>
      </c>
      <c r="G7" s="64">
        <v>1</v>
      </c>
      <c r="H7" s="64" t="s">
        <v>450</v>
      </c>
      <c r="I7" s="64">
        <v>1</v>
      </c>
      <c r="J7" s="64" t="s">
        <v>450</v>
      </c>
      <c r="K7" s="64">
        <v>1</v>
      </c>
      <c r="L7" s="64" t="s">
        <v>450</v>
      </c>
      <c r="M7" s="64">
        <v>1</v>
      </c>
      <c r="N7" s="64" t="s">
        <v>450</v>
      </c>
      <c r="O7" s="64">
        <v>1</v>
      </c>
      <c r="P7" s="64" t="s">
        <v>450</v>
      </c>
    </row>
    <row r="8" spans="2:16" x14ac:dyDescent="0.25">
      <c r="B8" s="128"/>
      <c r="C8" s="65" t="s">
        <v>349</v>
      </c>
      <c r="D8" s="63" t="s">
        <v>356</v>
      </c>
      <c r="E8" s="65" t="s">
        <v>334</v>
      </c>
      <c r="F8" s="64" t="s">
        <v>357</v>
      </c>
      <c r="G8" s="64">
        <v>0</v>
      </c>
      <c r="H8" s="64" t="s">
        <v>451</v>
      </c>
      <c r="I8" s="64">
        <v>0</v>
      </c>
      <c r="J8" s="64" t="s">
        <v>451</v>
      </c>
      <c r="K8" s="64">
        <v>0</v>
      </c>
      <c r="L8" s="64" t="s">
        <v>451</v>
      </c>
      <c r="M8" s="64">
        <v>0</v>
      </c>
      <c r="N8" s="64" t="s">
        <v>451</v>
      </c>
      <c r="O8" s="64">
        <v>0</v>
      </c>
      <c r="P8" s="64" t="s">
        <v>451</v>
      </c>
    </row>
    <row r="9" spans="2:16" ht="36" x14ac:dyDescent="0.25">
      <c r="B9" s="128"/>
      <c r="C9" s="65" t="s">
        <v>360</v>
      </c>
      <c r="D9" s="63" t="s">
        <v>359</v>
      </c>
      <c r="E9" s="65" t="s">
        <v>361</v>
      </c>
      <c r="F9" s="63" t="s">
        <v>362</v>
      </c>
      <c r="G9" s="64">
        <v>1</v>
      </c>
      <c r="H9" s="64" t="s">
        <v>452</v>
      </c>
      <c r="I9" s="64">
        <v>1</v>
      </c>
      <c r="J9" s="64" t="s">
        <v>452</v>
      </c>
      <c r="K9" s="64">
        <v>1</v>
      </c>
      <c r="L9" s="64" t="s">
        <v>452</v>
      </c>
      <c r="M9" s="64">
        <v>2</v>
      </c>
      <c r="N9" s="64" t="s">
        <v>470</v>
      </c>
      <c r="O9" s="64">
        <v>5</v>
      </c>
      <c r="P9" s="64" t="s">
        <v>475</v>
      </c>
    </row>
    <row r="10" spans="2:16" x14ac:dyDescent="0.25">
      <c r="B10" s="128"/>
      <c r="C10" s="65" t="s">
        <v>332</v>
      </c>
      <c r="D10" s="63" t="s">
        <v>346</v>
      </c>
      <c r="E10" s="65"/>
      <c r="F10" s="63"/>
      <c r="G10" s="64">
        <v>0</v>
      </c>
      <c r="H10" s="64"/>
      <c r="I10" s="64">
        <v>0</v>
      </c>
      <c r="J10" s="64"/>
      <c r="K10" s="64">
        <v>0</v>
      </c>
      <c r="L10" s="64"/>
      <c r="M10" s="64">
        <v>0</v>
      </c>
      <c r="N10" s="64"/>
      <c r="O10" s="64">
        <v>0</v>
      </c>
      <c r="P10" s="64"/>
    </row>
    <row r="11" spans="2:16" x14ac:dyDescent="0.25">
      <c r="B11" s="126" t="s">
        <v>297</v>
      </c>
      <c r="C11" s="127"/>
      <c r="D11" s="125" t="s">
        <v>363</v>
      </c>
      <c r="E11" s="128" t="s">
        <v>293</v>
      </c>
      <c r="F11" s="129" t="s">
        <v>367</v>
      </c>
      <c r="G11" s="128" t="s">
        <v>448</v>
      </c>
      <c r="H11" s="128" t="s">
        <v>460</v>
      </c>
      <c r="I11" s="128" t="s">
        <v>462</v>
      </c>
      <c r="J11" s="128" t="s">
        <v>459</v>
      </c>
      <c r="K11" s="128" t="s">
        <v>469</v>
      </c>
      <c r="L11" s="128" t="s">
        <v>468</v>
      </c>
      <c r="M11" s="128" t="s">
        <v>471</v>
      </c>
      <c r="N11" s="128" t="s">
        <v>473</v>
      </c>
      <c r="O11" s="128" t="s">
        <v>463</v>
      </c>
      <c r="P11" s="128" t="s">
        <v>476</v>
      </c>
    </row>
    <row r="12" spans="2:16" x14ac:dyDescent="0.25">
      <c r="B12" s="126" t="s">
        <v>298</v>
      </c>
      <c r="C12" s="127"/>
      <c r="D12" s="125"/>
      <c r="E12" s="128"/>
      <c r="F12" s="130"/>
      <c r="G12" s="128"/>
      <c r="H12" s="128"/>
      <c r="I12" s="128"/>
      <c r="J12" s="128"/>
      <c r="K12" s="128"/>
      <c r="L12" s="128"/>
      <c r="M12" s="128"/>
      <c r="N12" s="128"/>
      <c r="O12" s="128"/>
      <c r="P12" s="128"/>
    </row>
    <row r="13" spans="2:16" x14ac:dyDescent="0.25">
      <c r="B13" s="126" t="s">
        <v>299</v>
      </c>
      <c r="C13" s="127"/>
      <c r="D13" s="125" t="s">
        <v>364</v>
      </c>
      <c r="E13" s="128" t="s">
        <v>293</v>
      </c>
      <c r="F13" s="129" t="s">
        <v>369</v>
      </c>
      <c r="G13" s="128" t="s">
        <v>454</v>
      </c>
      <c r="H13" s="128" t="s">
        <v>453</v>
      </c>
      <c r="I13" s="128" t="s">
        <v>463</v>
      </c>
      <c r="J13" s="128" t="s">
        <v>461</v>
      </c>
      <c r="K13" s="128" t="s">
        <v>463</v>
      </c>
      <c r="L13" s="128" t="s">
        <v>461</v>
      </c>
      <c r="M13" s="128" t="s">
        <v>463</v>
      </c>
      <c r="N13" s="128" t="s">
        <v>461</v>
      </c>
      <c r="O13" s="128" t="s">
        <v>448</v>
      </c>
      <c r="P13" s="128" t="s">
        <v>472</v>
      </c>
    </row>
    <row r="14" spans="2:16" x14ac:dyDescent="0.25">
      <c r="B14" s="126" t="s">
        <v>300</v>
      </c>
      <c r="C14" s="127"/>
      <c r="D14" s="125"/>
      <c r="E14" s="128"/>
      <c r="F14" s="130"/>
      <c r="G14" s="128"/>
      <c r="H14" s="128"/>
      <c r="I14" s="128"/>
      <c r="J14" s="128"/>
      <c r="K14" s="128"/>
      <c r="L14" s="128"/>
      <c r="M14" s="128"/>
      <c r="N14" s="128"/>
      <c r="O14" s="128"/>
      <c r="P14" s="128"/>
    </row>
    <row r="15" spans="2:16" x14ac:dyDescent="0.25">
      <c r="B15" s="126" t="s">
        <v>301</v>
      </c>
      <c r="C15" s="127"/>
      <c r="D15" s="128" t="s">
        <v>368</v>
      </c>
      <c r="E15" s="128" t="s">
        <v>293</v>
      </c>
      <c r="F15" s="129" t="s">
        <v>412</v>
      </c>
      <c r="G15" s="128" t="s">
        <v>456</v>
      </c>
      <c r="H15" s="128" t="s">
        <v>455</v>
      </c>
      <c r="I15" s="128" t="s">
        <v>464</v>
      </c>
      <c r="J15" s="128" t="s">
        <v>465</v>
      </c>
      <c r="K15" s="128" t="s">
        <v>464</v>
      </c>
      <c r="L15" s="128" t="s">
        <v>465</v>
      </c>
      <c r="M15" s="128" t="s">
        <v>448</v>
      </c>
      <c r="N15" s="128" t="s">
        <v>472</v>
      </c>
      <c r="O15" s="128" t="s">
        <v>448</v>
      </c>
      <c r="P15" s="128" t="s">
        <v>472</v>
      </c>
    </row>
    <row r="16" spans="2:16" x14ac:dyDescent="0.25">
      <c r="B16" s="126" t="s">
        <v>302</v>
      </c>
      <c r="C16" s="127"/>
      <c r="D16" s="128"/>
      <c r="E16" s="128"/>
      <c r="F16" s="130"/>
      <c r="G16" s="128"/>
      <c r="H16" s="128"/>
      <c r="I16" s="128"/>
      <c r="J16" s="128"/>
      <c r="K16" s="128"/>
      <c r="L16" s="128"/>
      <c r="M16" s="128"/>
      <c r="N16" s="128"/>
      <c r="O16" s="128"/>
      <c r="P16" s="128"/>
    </row>
    <row r="19" spans="6:8" x14ac:dyDescent="0.25">
      <c r="F19" s="60" t="s">
        <v>490</v>
      </c>
      <c r="H19" s="60" t="s">
        <v>491</v>
      </c>
    </row>
    <row r="20" spans="6:8" x14ac:dyDescent="0.25">
      <c r="F20" s="60" t="s">
        <v>492</v>
      </c>
      <c r="H20" s="60" t="s">
        <v>493</v>
      </c>
    </row>
    <row r="21" spans="6:8" x14ac:dyDescent="0.25">
      <c r="F21" s="60" t="s">
        <v>495</v>
      </c>
      <c r="H21" s="60" t="s">
        <v>494</v>
      </c>
    </row>
    <row r="22" spans="6:8" x14ac:dyDescent="0.25">
      <c r="F22" s="60" t="s">
        <v>496</v>
      </c>
      <c r="H22" s="60" t="s">
        <v>503</v>
      </c>
    </row>
    <row r="23" spans="6:8" x14ac:dyDescent="0.25">
      <c r="F23" s="60" t="s">
        <v>497</v>
      </c>
      <c r="H23" s="60" t="s">
        <v>498</v>
      </c>
    </row>
    <row r="24" spans="6:8" x14ac:dyDescent="0.25">
      <c r="F24" s="60" t="s">
        <v>500</v>
      </c>
      <c r="H24" s="60" t="s">
        <v>499</v>
      </c>
    </row>
    <row r="25" spans="6:8" x14ac:dyDescent="0.25">
      <c r="F25" s="60" t="s">
        <v>501</v>
      </c>
      <c r="H25" s="60" t="s">
        <v>502</v>
      </c>
    </row>
  </sheetData>
  <mergeCells count="56">
    <mergeCell ref="P15:P16"/>
    <mergeCell ref="B16:C16"/>
    <mergeCell ref="J15:J16"/>
    <mergeCell ref="K15:K16"/>
    <mergeCell ref="L15:L16"/>
    <mergeCell ref="M15:M16"/>
    <mergeCell ref="N15:N16"/>
    <mergeCell ref="O15:O16"/>
    <mergeCell ref="O13:O14"/>
    <mergeCell ref="P13:P14"/>
    <mergeCell ref="B14:C14"/>
    <mergeCell ref="B15:C15"/>
    <mergeCell ref="D15:D16"/>
    <mergeCell ref="E15:E16"/>
    <mergeCell ref="F15:F16"/>
    <mergeCell ref="G15:G16"/>
    <mergeCell ref="H15:H16"/>
    <mergeCell ref="I15:I16"/>
    <mergeCell ref="I13:I14"/>
    <mergeCell ref="J13:J14"/>
    <mergeCell ref="K13:K14"/>
    <mergeCell ref="L13:L14"/>
    <mergeCell ref="M13:M14"/>
    <mergeCell ref="N13:N14"/>
    <mergeCell ref="N11:N12"/>
    <mergeCell ref="O11:O12"/>
    <mergeCell ref="P11:P12"/>
    <mergeCell ref="B12:C12"/>
    <mergeCell ref="B13:C13"/>
    <mergeCell ref="D13:D14"/>
    <mergeCell ref="E13:E14"/>
    <mergeCell ref="F13:F14"/>
    <mergeCell ref="G13:G14"/>
    <mergeCell ref="H13:H14"/>
    <mergeCell ref="H11:H12"/>
    <mergeCell ref="I11:I12"/>
    <mergeCell ref="J11:J12"/>
    <mergeCell ref="K11:K12"/>
    <mergeCell ref="L11:L12"/>
    <mergeCell ref="M11:M12"/>
    <mergeCell ref="M3:N3"/>
    <mergeCell ref="O3:P3"/>
    <mergeCell ref="B4:C4"/>
    <mergeCell ref="B5:C5"/>
    <mergeCell ref="B6:B10"/>
    <mergeCell ref="K3:L3"/>
    <mergeCell ref="B11:C11"/>
    <mergeCell ref="D11:D12"/>
    <mergeCell ref="E11:E12"/>
    <mergeCell ref="F11:F12"/>
    <mergeCell ref="G11:G12"/>
    <mergeCell ref="B2:F2"/>
    <mergeCell ref="G2:H2"/>
    <mergeCell ref="B3:C3"/>
    <mergeCell ref="G3:H3"/>
    <mergeCell ref="I3:J3"/>
  </mergeCells>
  <phoneticPr fontId="10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3</vt:i4>
      </vt:variant>
    </vt:vector>
  </HeadingPairs>
  <TitlesOfParts>
    <vt:vector size="8" baseType="lpstr">
      <vt:lpstr>字典表</vt:lpstr>
      <vt:lpstr>字典操作示例</vt:lpstr>
      <vt:lpstr>SDO协议内容详解</vt:lpstr>
      <vt:lpstr>CANFD的自定义的PDO控制协议</vt:lpstr>
      <vt:lpstr>PDO应用示例</vt:lpstr>
      <vt:lpstr>CANFD的自定义的PDO控制协议!heading_1</vt:lpstr>
      <vt:lpstr>CANFD的自定义的PDO控制协议!heading_2</vt:lpstr>
      <vt:lpstr>CANFD的自定义的PDO控制协议!heading_3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正权 夏</cp:lastModifiedBy>
  <dcterms:created xsi:type="dcterms:W3CDTF">2023-05-12T11:15:00Z</dcterms:created>
  <dcterms:modified xsi:type="dcterms:W3CDTF">2026-07-16T00:46:25Z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0449DA85B9F74E6D80D7E2636BF2477B_12</vt:lpwstr>
  </property>
</Properties>
</file>